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 defaultThemeVersion="124226"/>
  <bookViews>
    <workbookView xWindow="75" yWindow="930" windowWidth="15480" windowHeight="6165" tabRatio="809"/>
  </bookViews>
  <sheets>
    <sheet name="Dashboard" sheetId="187" r:id="rId1"/>
    <sheet name="Data" sheetId="225" r:id="rId2"/>
    <sheet name="Control" sheetId="226" r:id="rId3"/>
  </sheets>
  <definedNames>
    <definedName name="myOverwritePosition">Control!$C$8</definedName>
    <definedName name="mySearchString">Control!$C$6</definedName>
    <definedName name="myStartPosition">Control!$C$4</definedName>
  </definedNames>
  <calcPr calcId="125725" iterate="1"/>
</workbook>
</file>

<file path=xl/calcChain.xml><?xml version="1.0" encoding="utf-8"?>
<calcChain xmlns="http://schemas.openxmlformats.org/spreadsheetml/2006/main">
  <c r="C7" i="226"/>
  <c r="D6" i="187"/>
  <c r="C8"/>
  <c r="E8"/>
  <c r="C9"/>
  <c r="E9"/>
  <c r="C10"/>
  <c r="E10"/>
  <c r="C11"/>
  <c r="E11"/>
  <c r="C12"/>
  <c r="E12"/>
  <c r="C13"/>
  <c r="E13"/>
  <c r="C14"/>
  <c r="E14"/>
  <c r="C15"/>
  <c r="E15"/>
  <c r="C16"/>
  <c r="E16"/>
  <c r="C17"/>
  <c r="E17"/>
  <c r="C18"/>
  <c r="E18"/>
  <c r="C19"/>
  <c r="E19"/>
  <c r="C20"/>
  <c r="E20"/>
  <c r="C21"/>
  <c r="E21"/>
  <c r="E7"/>
  <c r="C7"/>
  <c r="B6" i="225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E6" i="187"/>
  <c r="B7"/>
  <c r="B69" i="225"/>
  <c r="B70"/>
  <c r="B8" i="187"/>
  <c r="B9"/>
  <c r="B71" i="225"/>
  <c r="B72"/>
  <c r="B10" i="187"/>
  <c r="B73" i="225"/>
  <c r="B11" i="187"/>
  <c r="B74" i="225"/>
  <c r="B12" i="187"/>
  <c r="B13"/>
  <c r="B75" i="225"/>
  <c r="B76"/>
  <c r="B14" i="187"/>
  <c r="B15"/>
  <c r="B77" i="225"/>
  <c r="B78"/>
  <c r="B16" i="187"/>
  <c r="B17"/>
  <c r="B79" i="225"/>
  <c r="B18" i="187"/>
  <c r="B80" i="225"/>
  <c r="B19" i="187"/>
  <c r="B81" i="225"/>
  <c r="B82"/>
  <c r="B20" i="187"/>
  <c r="B83" i="225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21" i="187"/>
  <c r="C5" i="226" l="1"/>
  <c r="C8" s="1"/>
  <c r="D22" i="187" l="1"/>
</calcChain>
</file>

<file path=xl/sharedStrings.xml><?xml version="1.0" encoding="utf-8"?>
<sst xmlns="http://schemas.openxmlformats.org/spreadsheetml/2006/main" count="203" uniqueCount="202">
  <si>
    <t>Data</t>
  </si>
  <si>
    <t>Calculation</t>
  </si>
  <si>
    <t>No.</t>
  </si>
  <si>
    <t>Country</t>
  </si>
  <si>
    <t>Countries</t>
  </si>
  <si>
    <t>Population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</si>
  <si>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</si>
  <si>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</si>
  <si>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</si>
  <si>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</si>
  <si>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</si>
  <si>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</si>
  <si>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</si>
  <si>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</si>
  <si>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</si>
  <si>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</si>
  <si>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</si>
  <si>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Bahamas, The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</si>
  <si>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</si>
  <si>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</si>
  <si>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</si>
  <si>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</si>
  <si>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</si>
  <si>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</si>
  <si>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</si>
  <si>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</si>
  <si>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</si>
  <si>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</si>
  <si>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</si>
  <si>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</si>
  <si>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Bulgaria</t>
  </si>
  <si>
    <t>Burkina Faso</t>
  </si>
  <si>
    <t>Burma</t>
  </si>
  <si>
    <t>Burundi</t>
  </si>
  <si>
    <t>Cambodia</t>
  </si>
  <si>
    <t>Cameroon</t>
  </si>
  <si>
    <t>Canada</t>
  </si>
  <si>
    <t>Cape Verde</t>
  </si>
  <si>
    <t>Central African Republic</t>
  </si>
  <si>
    <t>Chad</t>
  </si>
  <si>
    <t>Chile</t>
  </si>
  <si>
    <t>China</t>
  </si>
  <si>
    <t>Colombia</t>
  </si>
  <si>
    <t>Comoros</t>
  </si>
  <si>
    <t>Congo, Democratic Republic of the</t>
  </si>
  <si>
    <t>Congo, Republic of the</t>
  </si>
  <si>
    <t>Costa Rica</t>
  </si>
  <si>
    <t>Cote d'Ivoire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</si>
  <si>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</si>
  <si>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</si>
  <si>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</si>
  <si>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</si>
  <si>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</si>
  <si>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</si>
  <si>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</si>
  <si>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</si>
  <si>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</si>
  <si>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</si>
  <si>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</si>
  <si>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</si>
  <si>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</si>
  <si>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</si>
  <si>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</si>
  <si>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Fiji</t>
  </si>
  <si>
    <t>Finland</t>
  </si>
  <si>
    <t>France</t>
  </si>
  <si>
    <t>Gabon</t>
  </si>
  <si>
    <t>Gambia, The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</si>
  <si>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</si>
  <si>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</si>
  <si>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</si>
  <si>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</si>
  <si>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</si>
  <si>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</si>
  <si>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</si>
  <si>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</si>
  <si>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</si>
  <si>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</si>
  <si>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</si>
  <si>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</si>
  <si>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</si>
  <si>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</si>
  <si>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</si>
  <si>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</si>
  <si>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</si>
  <si>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</si>
  <si>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</si>
  <si>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</si>
  <si>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</si>
  <si>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</si>
  <si>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</si>
  <si>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</si>
  <si>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</si>
  <si>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</si>
  <si>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Korea, North</t>
  </si>
  <si>
    <t>Korea, South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</si>
  <si>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</si>
  <si>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</si>
  <si>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</si>
  <si>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</si>
  <si>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</si>
  <si>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</si>
  <si>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</si>
  <si>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</si>
  <si>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</si>
  <si>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</si>
  <si>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</si>
  <si>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</si>
  <si>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</si>
  <si>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</si>
  <si>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</si>
  <si>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</si>
  <si>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</si>
  <si>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</si>
  <si>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</si>
  <si>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</si>
  <si>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</si>
  <si>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</si>
  <si>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Micronesia, Federated States of</t>
  </si>
  <si>
    <t>Moldova</t>
  </si>
  <si>
    <t>Monaco</t>
  </si>
  <si>
    <t>Mongolia</t>
  </si>
  <si>
    <t>Montenegro</t>
  </si>
  <si>
    <t>Morocco</t>
  </si>
  <si>
    <t>Mozambique</t>
  </si>
  <si>
    <t>Namibia</t>
  </si>
  <si>
    <t>Nauru</t>
  </si>
  <si>
    <t>Nepal</t>
  </si>
  <si>
    <t>Netherlands</t>
  </si>
  <si>
    <t>New Zealand</t>
  </si>
  <si>
    <t>Nicaragua</t>
  </si>
  <si>
    <t>Niger</t>
  </si>
  <si>
    <t>Nigeria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</si>
  <si>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</si>
  <si>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</si>
  <si>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</si>
  <si>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</si>
  <si>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</si>
  <si>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</si>
  <si>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</si>
  <si>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</si>
  <si>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</si>
  <si>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</si>
  <si>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</si>
  <si>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</si>
  <si>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</si>
  <si>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</si>
  <si>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</si>
  <si>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Saint Lucia</t>
  </si>
  <si>
    <t>Samoa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</si>
  <si>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</si>
  <si>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</si>
  <si>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</si>
  <si>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</si>
  <si>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</si>
  <si>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</si>
  <si>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</si>
  <si>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</si>
  <si>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</si>
  <si>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</si>
  <si>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</si>
  <si>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</si>
  <si>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</si>
  <si>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</si>
  <si>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</si>
  <si>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</si>
  <si>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</si>
  <si>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</si>
  <si>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</si>
  <si>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</si>
  <si>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</si>
  <si>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</si>
  <si>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</si>
  <si>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</si>
  <si>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</si>
  <si>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</si>
  <si>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</si>
  <si>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</si>
  <si>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</si>
  <si>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</si>
  <si>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</si>
  <si>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</si>
  <si>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</si>
  <si>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</si>
  <si>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</si>
  <si>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</si>
  <si>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</si>
  <si>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</si>
  <si>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</si>
  <si>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</t>
  </si>
  <si>
    <t>Vietnam</t>
  </si>
  <si>
    <t>Western Sahara</t>
  </si>
  <si>
    <t>Yemen</t>
  </si>
  <si>
    <t>Zambia</t>
  </si>
  <si>
    <t>Zimbabwe</t>
  </si>
  <si>
    <t>Position search entry</t>
  </si>
  <si>
    <t>Overwrite value start position</t>
  </si>
  <si>
    <t>Maximum position</t>
  </si>
  <si>
    <t>Actual start position</t>
  </si>
  <si>
    <t>← Enter search string</t>
  </si>
  <si>
    <t>Dashboard Table - Scroll and Search - advanced  version</t>
  </si>
  <si>
    <t>Search string</t>
  </si>
</sst>
</file>

<file path=xl/styles.xml><?xml version="1.0" encoding="utf-8"?>
<styleSheet xmlns="http://schemas.openxmlformats.org/spreadsheetml/2006/main">
  <numFmts count="7">
    <numFmt numFmtId="168" formatCode="_(&quot;€&quot;* #,##0.00_);_(&quot;€&quot;* \(#,##0.00\);_(&quot;€&quot;* &quot;-&quot;??_);_(@_)"/>
    <numFmt numFmtId="169" formatCode="#,##0.000"/>
    <numFmt numFmtId="170" formatCode="#,##0.0"/>
    <numFmt numFmtId="171" formatCode="0.0%"/>
    <numFmt numFmtId="172" formatCode="_-* #,##0\ _D_M_-;\-* #,##0\ _D_M_-;_-* &quot;-&quot;\ _D_M_-;_-@_-"/>
    <numFmt numFmtId="173" formatCode="_-&quot;£ &quot;\ * #,##0_-;\-&quot;£ &quot;\ * #,##0_-;_-&quot;£ &quot;\ * &quot;-&quot;_-;_-@_-"/>
    <numFmt numFmtId="174" formatCode="#,##0_ ;[Red]\-#,##0\ "/>
  </numFmts>
  <fonts count="29">
    <font>
      <sz val="10"/>
      <name val="Arial"/>
    </font>
    <font>
      <sz val="10"/>
      <name val="Arial"/>
    </font>
    <font>
      <sz val="8"/>
      <name val="Arial"/>
      <family val="2"/>
    </font>
    <font>
      <sz val="8"/>
      <name val="Arial"/>
      <family val="2"/>
    </font>
    <font>
      <b/>
      <sz val="11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9"/>
      <color indexed="17"/>
      <name val="Helv"/>
    </font>
    <font>
      <sz val="9"/>
      <name val="Helv"/>
    </font>
    <font>
      <sz val="9"/>
      <color indexed="8"/>
      <name val="Helv"/>
    </font>
    <font>
      <b/>
      <u/>
      <sz val="9"/>
      <name val="Helv"/>
    </font>
    <font>
      <b/>
      <sz val="9"/>
      <name val="Helv"/>
    </font>
    <font>
      <sz val="9"/>
      <color indexed="39"/>
      <name val="Helv"/>
    </font>
    <font>
      <sz val="8"/>
      <color indexed="12"/>
      <name val="Arial"/>
      <family val="2"/>
    </font>
    <font>
      <sz val="10"/>
      <color indexed="12"/>
      <name val="Arial"/>
      <family val="2"/>
    </font>
    <font>
      <sz val="8"/>
      <color indexed="39"/>
      <name val="Arial"/>
      <family val="2"/>
    </font>
    <font>
      <sz val="9"/>
      <color indexed="20"/>
      <name val="Helv"/>
    </font>
    <font>
      <sz val="8"/>
      <color indexed="20"/>
      <name val="Helv"/>
    </font>
    <font>
      <sz val="8"/>
      <color indexed="8"/>
      <name val="Arial"/>
      <family val="2"/>
    </font>
    <font>
      <sz val="8"/>
      <name val="Helv"/>
    </font>
    <font>
      <sz val="9"/>
      <name val="Arial"/>
      <family val="2"/>
    </font>
    <font>
      <sz val="10"/>
      <name val="MS Sans Serif"/>
      <family val="2"/>
    </font>
    <font>
      <sz val="10"/>
      <name val="GillSans"/>
    </font>
    <font>
      <sz val="10"/>
      <name val="ZapfHumnst BT"/>
    </font>
    <font>
      <b/>
      <sz val="12"/>
      <name val="Arial"/>
      <family val="2"/>
    </font>
    <font>
      <sz val="12"/>
      <name val="Arial"/>
      <family val="2"/>
    </font>
    <font>
      <i/>
      <sz val="10"/>
      <name val="Arial"/>
      <family val="2"/>
    </font>
    <font>
      <sz val="10"/>
      <color indexed="23"/>
      <name val="Wingdings 3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8">
    <xf numFmtId="0" fontId="0" fillId="0" borderId="0"/>
    <xf numFmtId="0" fontId="1" fillId="0" borderId="0"/>
    <xf numFmtId="0" fontId="21" fillId="0" borderId="0">
      <alignment vertical="top"/>
    </xf>
    <xf numFmtId="172" fontId="1" fillId="0" borderId="0" applyFont="0" applyFill="0" applyBorder="0" applyAlignment="0" applyProtection="0"/>
    <xf numFmtId="3" fontId="8" fillId="2" borderId="1"/>
    <xf numFmtId="0" fontId="6" fillId="3" borderId="0"/>
    <xf numFmtId="0" fontId="3" fillId="0" borderId="0"/>
    <xf numFmtId="0" fontId="4" fillId="0" borderId="0">
      <alignment horizontal="left" vertical="center" indent="1"/>
    </xf>
    <xf numFmtId="14" fontId="22" fillId="0" borderId="0"/>
    <xf numFmtId="3" fontId="9" fillId="0" borderId="2"/>
    <xf numFmtId="4" fontId="5" fillId="0" borderId="0">
      <alignment horizontal="right" vertical="center"/>
    </xf>
    <xf numFmtId="168" fontId="1" fillId="0" borderId="0" applyFont="0" applyFill="0" applyBorder="0" applyAlignment="0" applyProtection="0"/>
    <xf numFmtId="3" fontId="7" fillId="0" borderId="0"/>
    <xf numFmtId="3" fontId="10" fillId="4" borderId="1"/>
    <xf numFmtId="0" fontId="11" fillId="0" borderId="0">
      <alignment vertical="center"/>
    </xf>
    <xf numFmtId="0" fontId="12" fillId="0" borderId="0"/>
    <xf numFmtId="0" fontId="9" fillId="0" borderId="0"/>
    <xf numFmtId="9" fontId="13" fillId="0" borderId="0"/>
    <xf numFmtId="171" fontId="13" fillId="0" borderId="0"/>
    <xf numFmtId="10" fontId="13" fillId="0" borderId="0"/>
    <xf numFmtId="170" fontId="13" fillId="0" borderId="0"/>
    <xf numFmtId="4" fontId="13" fillId="0" borderId="0"/>
    <xf numFmtId="3" fontId="14" fillId="3" borderId="0">
      <protection locked="0"/>
    </xf>
    <xf numFmtId="4" fontId="15" fillId="3" borderId="0">
      <protection locked="0"/>
    </xf>
    <xf numFmtId="0" fontId="16" fillId="3" borderId="0"/>
    <xf numFmtId="1" fontId="15" fillId="3" borderId="0">
      <protection locked="0"/>
    </xf>
    <xf numFmtId="172" fontId="1" fillId="0" borderId="0" applyFont="0" applyFill="0" applyBorder="0" applyAlignment="0" applyProtection="0"/>
    <xf numFmtId="3" fontId="9" fillId="0" borderId="0"/>
    <xf numFmtId="10" fontId="23" fillId="0" borderId="3" applyFont="0" applyFill="0" applyAlignment="0" applyProtection="0"/>
    <xf numFmtId="9" fontId="10" fillId="0" borderId="2"/>
    <xf numFmtId="3" fontId="17" fillId="0" borderId="0"/>
    <xf numFmtId="4" fontId="17" fillId="0" borderId="0"/>
    <xf numFmtId="171" fontId="18" fillId="0" borderId="0"/>
    <xf numFmtId="3" fontId="8" fillId="2" borderId="0"/>
    <xf numFmtId="3" fontId="19" fillId="5" borderId="0"/>
    <xf numFmtId="0" fontId="5" fillId="0" borderId="0"/>
    <xf numFmtId="171" fontId="9" fillId="0" borderId="0"/>
    <xf numFmtId="0" fontId="21" fillId="0" borderId="0">
      <alignment vertical="top"/>
    </xf>
    <xf numFmtId="171" fontId="12" fillId="0" borderId="0"/>
    <xf numFmtId="171" fontId="12" fillId="0" borderId="0"/>
    <xf numFmtId="3" fontId="12" fillId="0" borderId="2"/>
    <xf numFmtId="3" fontId="12" fillId="0" borderId="0"/>
    <xf numFmtId="0" fontId="12" fillId="0" borderId="0"/>
    <xf numFmtId="20" fontId="22" fillId="0" borderId="0"/>
    <xf numFmtId="0" fontId="2" fillId="0" borderId="0"/>
    <xf numFmtId="173" fontId="24" fillId="0" borderId="0" applyFont="0" applyFill="0" applyBorder="0" applyAlignment="0" applyProtection="0"/>
    <xf numFmtId="169" fontId="20" fillId="0" borderId="0"/>
    <xf numFmtId="38" fontId="5" fillId="0" borderId="0">
      <alignment horizontal="right" vertical="center"/>
    </xf>
  </cellStyleXfs>
  <cellXfs count="50">
    <xf numFmtId="0" fontId="0" fillId="0" borderId="0" xfId="0"/>
    <xf numFmtId="0" fontId="5" fillId="0" borderId="0" xfId="0" applyNumberFormat="1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0" xfId="0" applyFont="1" applyProtection="1">
      <protection hidden="1"/>
    </xf>
    <xf numFmtId="0" fontId="6" fillId="0" borderId="4" xfId="0" applyFont="1" applyBorder="1" applyAlignment="1" applyProtection="1">
      <alignment horizontal="center" vertical="center" wrapText="1"/>
      <protection hidden="1"/>
    </xf>
    <xf numFmtId="174" fontId="5" fillId="0" borderId="5" xfId="0" applyNumberFormat="1" applyFont="1" applyBorder="1" applyAlignment="1" applyProtection="1">
      <alignment vertical="center"/>
      <protection hidden="1"/>
    </xf>
    <xf numFmtId="174" fontId="5" fillId="0" borderId="6" xfId="0" applyNumberFormat="1" applyFont="1" applyBorder="1" applyAlignment="1" applyProtection="1">
      <alignment vertical="center"/>
      <protection hidden="1"/>
    </xf>
    <xf numFmtId="174" fontId="5" fillId="0" borderId="7" xfId="0" applyNumberFormat="1" applyFont="1" applyBorder="1" applyAlignment="1" applyProtection="1">
      <alignment vertical="center"/>
      <protection hidden="1"/>
    </xf>
    <xf numFmtId="0" fontId="5" fillId="0" borderId="0" xfId="0" applyFont="1" applyBorder="1" applyAlignment="1" applyProtection="1">
      <alignment horizontal="left" vertical="center" indent="1"/>
      <protection hidden="1"/>
    </xf>
    <xf numFmtId="0" fontId="5" fillId="0" borderId="0" xfId="0" applyNumberFormat="1" applyFont="1" applyFill="1" applyAlignment="1" applyProtection="1">
      <alignment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5" fillId="0" borderId="0" xfId="0" applyNumberFormat="1" applyFont="1" applyFill="1" applyBorder="1" applyAlignment="1" applyProtection="1">
      <alignment vertical="center"/>
      <protection hidden="1"/>
    </xf>
    <xf numFmtId="0" fontId="6" fillId="0" borderId="4" xfId="0" applyFont="1" applyBorder="1" applyAlignment="1" applyProtection="1">
      <alignment horizontal="left" vertical="center" wrapText="1" indent="1"/>
      <protection hidden="1"/>
    </xf>
    <xf numFmtId="0" fontId="26" fillId="0" borderId="0" xfId="0" applyFont="1" applyBorder="1" applyAlignment="1" applyProtection="1">
      <alignment horizontal="center"/>
      <protection hidden="1"/>
    </xf>
    <xf numFmtId="0" fontId="26" fillId="0" borderId="0" xfId="0" applyFont="1" applyBorder="1" applyAlignment="1" applyProtection="1">
      <alignment horizontal="center" vertical="top"/>
      <protection hidden="1"/>
    </xf>
    <xf numFmtId="0" fontId="5" fillId="0" borderId="5" xfId="0" applyNumberFormat="1" applyFont="1" applyFill="1" applyBorder="1" applyAlignment="1" applyProtection="1">
      <alignment horizontal="left" vertical="center" wrapText="1" indent="1"/>
      <protection locked="0" hidden="1"/>
    </xf>
    <xf numFmtId="174" fontId="5" fillId="0" borderId="5" xfId="0" applyNumberFormat="1" applyFont="1" applyFill="1" applyBorder="1" applyAlignment="1" applyProtection="1">
      <alignment horizontal="right" vertical="center"/>
      <protection locked="0" hidden="1"/>
    </xf>
    <xf numFmtId="0" fontId="5" fillId="0" borderId="6" xfId="0" applyNumberFormat="1" applyFont="1" applyFill="1" applyBorder="1" applyAlignment="1" applyProtection="1">
      <alignment horizontal="left" vertical="center" wrapText="1" indent="1"/>
      <protection locked="0" hidden="1"/>
    </xf>
    <xf numFmtId="174" fontId="5" fillId="0" borderId="6" xfId="0" applyNumberFormat="1" applyFont="1" applyFill="1" applyBorder="1" applyAlignment="1" applyProtection="1">
      <alignment horizontal="right" vertical="center"/>
      <protection locked="0" hidden="1"/>
    </xf>
    <xf numFmtId="0" fontId="5" fillId="0" borderId="7" xfId="0" applyNumberFormat="1" applyFont="1" applyFill="1" applyBorder="1" applyAlignment="1" applyProtection="1">
      <alignment horizontal="left" vertical="center" wrapText="1" indent="1"/>
      <protection locked="0" hidden="1"/>
    </xf>
    <xf numFmtId="174" fontId="5" fillId="0" borderId="7" xfId="0" applyNumberFormat="1" applyFont="1" applyFill="1" applyBorder="1" applyAlignment="1" applyProtection="1">
      <alignment horizontal="right" vertical="center"/>
      <protection locked="0" hidden="1"/>
    </xf>
    <xf numFmtId="0" fontId="5" fillId="0" borderId="0" xfId="0" applyFont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vertical="center" wrapText="1"/>
      <protection hidden="1"/>
    </xf>
    <xf numFmtId="0" fontId="5" fillId="0" borderId="0" xfId="0" applyFont="1" applyBorder="1"/>
    <xf numFmtId="3" fontId="5" fillId="0" borderId="0" xfId="0" applyNumberFormat="1" applyFont="1" applyFill="1" applyBorder="1" applyAlignment="1" applyProtection="1">
      <alignment horizontal="right" vertical="center"/>
      <protection locked="0" hidden="1"/>
    </xf>
    <xf numFmtId="3" fontId="5" fillId="0" borderId="0" xfId="0" applyNumberFormat="1" applyFont="1" applyBorder="1" applyAlignment="1" applyProtection="1">
      <alignment horizontal="right" vertical="center"/>
      <protection hidden="1"/>
    </xf>
    <xf numFmtId="3" fontId="5" fillId="0" borderId="0" xfId="0" applyNumberFormat="1" applyFont="1" applyFill="1" applyAlignment="1" applyProtection="1">
      <alignment horizontal="right" vertical="center"/>
      <protection hidden="1"/>
    </xf>
    <xf numFmtId="0" fontId="6" fillId="0" borderId="8" xfId="0" applyFont="1" applyBorder="1" applyAlignment="1" applyProtection="1">
      <alignment horizontal="left" vertical="center" indent="1"/>
      <protection hidden="1"/>
    </xf>
    <xf numFmtId="0" fontId="25" fillId="0" borderId="8" xfId="0" applyFont="1" applyBorder="1" applyAlignment="1" applyProtection="1">
      <alignment horizontal="left" vertical="center" indent="2"/>
      <protection hidden="1"/>
    </xf>
    <xf numFmtId="0" fontId="5" fillId="0" borderId="9" xfId="0" applyFont="1" applyBorder="1" applyAlignment="1" applyProtection="1">
      <alignment vertical="center"/>
      <protection hidden="1"/>
    </xf>
    <xf numFmtId="0" fontId="5" fillId="0" borderId="10" xfId="0" applyFont="1" applyBorder="1" applyAlignment="1" applyProtection="1">
      <alignment horizontal="left" vertical="center" indent="1"/>
      <protection hidden="1"/>
    </xf>
    <xf numFmtId="0" fontId="28" fillId="0" borderId="10" xfId="0" applyFont="1" applyBorder="1" applyAlignment="1" applyProtection="1">
      <alignment horizontal="center"/>
      <protection hidden="1"/>
    </xf>
    <xf numFmtId="174" fontId="5" fillId="0" borderId="11" xfId="0" applyNumberFormat="1" applyFont="1" applyBorder="1" applyAlignment="1" applyProtection="1">
      <alignment vertical="center"/>
      <protection hidden="1"/>
    </xf>
    <xf numFmtId="0" fontId="5" fillId="0" borderId="12" xfId="0" applyFont="1" applyBorder="1" applyAlignment="1" applyProtection="1">
      <alignment vertical="center"/>
      <protection hidden="1"/>
    </xf>
    <xf numFmtId="0" fontId="5" fillId="0" borderId="13" xfId="0" applyFont="1" applyBorder="1" applyAlignment="1" applyProtection="1">
      <alignment horizontal="left" vertical="center" indent="1"/>
      <protection hidden="1"/>
    </xf>
    <xf numFmtId="0" fontId="28" fillId="0" borderId="13" xfId="0" applyFont="1" applyBorder="1" applyAlignment="1" applyProtection="1">
      <alignment horizontal="center"/>
      <protection hidden="1"/>
    </xf>
    <xf numFmtId="174" fontId="5" fillId="0" borderId="14" xfId="0" applyNumberFormat="1" applyFont="1" applyBorder="1" applyAlignment="1" applyProtection="1">
      <alignment vertical="center"/>
      <protection hidden="1"/>
    </xf>
    <xf numFmtId="0" fontId="5" fillId="0" borderId="15" xfId="0" applyFont="1" applyBorder="1" applyAlignment="1" applyProtection="1">
      <alignment vertical="center"/>
      <protection hidden="1"/>
    </xf>
    <xf numFmtId="0" fontId="5" fillId="0" borderId="16" xfId="0" applyFont="1" applyBorder="1" applyAlignment="1" applyProtection="1">
      <alignment horizontal="left" vertical="center" indent="1"/>
      <protection hidden="1"/>
    </xf>
    <xf numFmtId="0" fontId="28" fillId="0" borderId="16" xfId="0" applyFont="1" applyBorder="1" applyAlignment="1" applyProtection="1">
      <alignment horizontal="center"/>
      <protection hidden="1"/>
    </xf>
    <xf numFmtId="174" fontId="5" fillId="0" borderId="17" xfId="0" applyNumberFormat="1" applyFont="1" applyBorder="1" applyAlignment="1" applyProtection="1">
      <alignment vertical="center"/>
      <protection hidden="1"/>
    </xf>
    <xf numFmtId="0" fontId="5" fillId="0" borderId="18" xfId="0" applyFont="1" applyBorder="1" applyAlignment="1" applyProtection="1">
      <alignment vertical="center"/>
      <protection hidden="1"/>
    </xf>
    <xf numFmtId="0" fontId="5" fillId="0" borderId="19" xfId="0" applyFont="1" applyBorder="1" applyAlignment="1" applyProtection="1">
      <alignment horizontal="left" vertical="center" indent="1"/>
      <protection hidden="1"/>
    </xf>
    <xf numFmtId="0" fontId="28" fillId="0" borderId="19" xfId="0" applyFont="1" applyBorder="1" applyAlignment="1" applyProtection="1">
      <alignment horizontal="center"/>
      <protection hidden="1"/>
    </xf>
    <xf numFmtId="174" fontId="5" fillId="0" borderId="20" xfId="0" applyNumberFormat="1" applyFont="1" applyBorder="1" applyAlignment="1" applyProtection="1">
      <alignment vertical="center"/>
      <protection hidden="1"/>
    </xf>
    <xf numFmtId="0" fontId="25" fillId="0" borderId="8" xfId="0" applyFont="1" applyBorder="1" applyAlignment="1" applyProtection="1">
      <alignment horizontal="left" vertical="center" indent="1"/>
      <protection hidden="1"/>
    </xf>
    <xf numFmtId="0" fontId="6" fillId="0" borderId="21" xfId="0" applyFont="1" applyBorder="1" applyAlignment="1" applyProtection="1">
      <alignment horizontal="left" vertical="center" wrapText="1" indent="1"/>
      <protection hidden="1"/>
    </xf>
    <xf numFmtId="0" fontId="6" fillId="0" borderId="21" xfId="0" applyFont="1" applyBorder="1" applyAlignment="1" applyProtection="1">
      <alignment horizontal="right" vertical="center" wrapText="1"/>
      <protection hidden="1"/>
    </xf>
    <xf numFmtId="0" fontId="27" fillId="0" borderId="0" xfId="0" applyFont="1" applyBorder="1" applyAlignment="1" applyProtection="1">
      <alignment vertical="center"/>
      <protection hidden="1"/>
    </xf>
    <xf numFmtId="0" fontId="5" fillId="0" borderId="0" xfId="0" applyFont="1" applyBorder="1" applyAlignment="1" applyProtection="1">
      <alignment horizontal="center" vertical="center"/>
      <protection hidden="1"/>
    </xf>
  </cellXfs>
  <cellStyles count="48">
    <cellStyle name="=C:\WINNT\SYSTEM32\COMMAND.COM" xfId="1"/>
    <cellStyle name="=C:\WINNT35\SYSTEM32\COMMAND.COM" xfId="2"/>
    <cellStyle name="AFE" xfId="3"/>
    <cellStyle name="Bezug" xfId="4"/>
    <cellStyle name="Comm_Big_Title" xfId="5"/>
    <cellStyle name="Comment" xfId="6"/>
    <cellStyle name="ContentsHyperlink" xfId="7"/>
    <cellStyle name="Datum" xfId="8"/>
    <cellStyle name="Dezimal [+line]" xfId="9"/>
    <cellStyle name="Dezimal(0)" xfId="10"/>
    <cellStyle name="Euro" xfId="11"/>
    <cellStyle name="Fett" xfId="12"/>
    <cellStyle name="Fix_Daten" xfId="13"/>
    <cellStyle name="Headline1" xfId="14"/>
    <cellStyle name="Headline2" xfId="15"/>
    <cellStyle name="Headline3" xfId="16"/>
    <cellStyle name="Input [%]" xfId="17"/>
    <cellStyle name="Input [%0]" xfId="18"/>
    <cellStyle name="Input [%00]" xfId="19"/>
    <cellStyle name="Input [0]" xfId="20"/>
    <cellStyle name="Input [00]" xfId="21"/>
    <cellStyle name="Input(#.##0)" xfId="22"/>
    <cellStyle name="Input(#.##0,00)" xfId="23"/>
    <cellStyle name="Input(%)" xfId="24"/>
    <cellStyle name="Input(0)" xfId="25"/>
    <cellStyle name="Muster" xfId="26"/>
    <cellStyle name="Normal" xfId="0" builtinId="0"/>
    <cellStyle name="OOO_Punkt" xfId="27"/>
    <cellStyle name="Percent (2)" xfId="28"/>
    <cellStyle name="Prozent +line" xfId="29"/>
    <cellStyle name="Reference" xfId="30"/>
    <cellStyle name="Reference [00]" xfId="31"/>
    <cellStyle name="Reference%" xfId="32"/>
    <cellStyle name="Reference_AB_9697" xfId="33"/>
    <cellStyle name="Referenz" xfId="34"/>
    <cellStyle name="Standard 2" xfId="35"/>
    <cellStyle name="Standard%" xfId="36"/>
    <cellStyle name="Stil 1" xfId="37"/>
    <cellStyle name="Subtotal" xfId="38"/>
    <cellStyle name="Summe" xfId="39"/>
    <cellStyle name="Summe [+line]" xfId="40"/>
    <cellStyle name="Summe [000]" xfId="41"/>
    <cellStyle name="Summe_Abschreibung" xfId="42"/>
    <cellStyle name="Uhrzeit" xfId="43"/>
    <cellStyle name="Unit" xfId="44"/>
    <cellStyle name="Valuta (0)_spies97" xfId="45"/>
    <cellStyle name="VIH" xfId="46"/>
    <cellStyle name="Währung(0)" xfId="4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01" enableFormatConditionsCalculation="0"/>
  <dimension ref="B1:E22"/>
  <sheetViews>
    <sheetView showGridLines="0" tabSelected="1" zoomScaleNormal="100" workbookViewId="0">
      <selection activeCell="G6" sqref="G6"/>
    </sheetView>
  </sheetViews>
  <sheetFormatPr defaultColWidth="10.7109375" defaultRowHeight="12.75"/>
  <cols>
    <col min="1" max="1" width="1.7109375" style="1" customWidth="1"/>
    <col min="2" max="2" width="5.7109375" style="1" customWidth="1"/>
    <col min="3" max="3" width="45.7109375" style="1" customWidth="1"/>
    <col min="4" max="4" width="2.7109375" style="1" customWidth="1"/>
    <col min="5" max="5" width="15.7109375" style="1" customWidth="1"/>
    <col min="6" max="6" width="1.7109375" style="1" customWidth="1"/>
    <col min="7" max="16384" width="10.7109375" style="1"/>
  </cols>
  <sheetData>
    <row r="1" spans="2:5" ht="12.75" customHeight="1"/>
    <row r="2" spans="2:5" s="3" customFormat="1" ht="30" customHeight="1" thickBot="1">
      <c r="B2" s="45" t="s">
        <v>200</v>
      </c>
      <c r="C2" s="27"/>
      <c r="D2" s="27"/>
      <c r="E2" s="27"/>
    </row>
    <row r="3" spans="2:5" ht="12.75" customHeight="1">
      <c r="B3" s="2"/>
      <c r="C3" s="8"/>
      <c r="D3" s="8"/>
    </row>
    <row r="4" spans="2:5" ht="18" customHeight="1">
      <c r="B4" s="2"/>
      <c r="D4" s="48" t="s">
        <v>199</v>
      </c>
    </row>
    <row r="5" spans="2:5" ht="12.75" customHeight="1">
      <c r="B5" s="2"/>
      <c r="C5" s="8"/>
      <c r="D5" s="8"/>
    </row>
    <row r="6" spans="2:5" ht="15" customHeight="1">
      <c r="B6" s="23"/>
      <c r="C6" s="46" t="s">
        <v>3</v>
      </c>
      <c r="D6" s="13" t="str">
        <f>IF(Control!$C$4&gt;1,"▲","")</f>
        <v/>
      </c>
      <c r="E6" s="47" t="str">
        <f>Data!D4</f>
        <v>Population</v>
      </c>
    </row>
    <row r="7" spans="2:5" ht="15" customHeight="1">
      <c r="B7" s="29">
        <f ca="1">OFFSET(Data!B4,Control!$C$4,0,1,1)</f>
        <v>1</v>
      </c>
      <c r="C7" s="30" t="str">
        <f ca="1">OFFSET(Data!C4,Control!$C$4,0,1,1)</f>
        <v>China</v>
      </c>
      <c r="D7" s="31"/>
      <c r="E7" s="32">
        <f ca="1">OFFSET(Data!D4,Control!$C$4,0)</f>
        <v>1338612968</v>
      </c>
    </row>
    <row r="8" spans="2:5" ht="15" customHeight="1">
      <c r="B8" s="33">
        <f ca="1">OFFSET(Data!B5,Control!$C$4,0,1,1)</f>
        <v>2</v>
      </c>
      <c r="C8" s="34" t="str">
        <f ca="1">OFFSET(Data!C5,Control!$C$4,0,1,1)</f>
        <v>India</v>
      </c>
      <c r="D8" s="35"/>
      <c r="E8" s="36">
        <f ca="1">OFFSET(Data!D5,Control!$C$4,0)</f>
        <v>1166079217</v>
      </c>
    </row>
    <row r="9" spans="2:5" ht="15" customHeight="1">
      <c r="B9" s="33">
        <f ca="1">OFFSET(Data!B6,Control!$C$4,0,1,1)</f>
        <v>3</v>
      </c>
      <c r="C9" s="34" t="str">
        <f ca="1">OFFSET(Data!C6,Control!$C$4,0,1,1)</f>
        <v>United States</v>
      </c>
      <c r="D9" s="35"/>
      <c r="E9" s="36">
        <f ca="1">OFFSET(Data!D6,Control!$C$4,0)</f>
        <v>307212123</v>
      </c>
    </row>
    <row r="10" spans="2:5" ht="15" customHeight="1">
      <c r="B10" s="33">
        <f ca="1">OFFSET(Data!B7,Control!$C$4,0,1,1)</f>
        <v>4</v>
      </c>
      <c r="C10" s="34" t="str">
        <f ca="1">OFFSET(Data!C7,Control!$C$4,0,1,1)</f>
        <v>Indonesia</v>
      </c>
      <c r="D10" s="35"/>
      <c r="E10" s="36">
        <f ca="1">OFFSET(Data!D7,Control!$C$4,0)</f>
        <v>240271522</v>
      </c>
    </row>
    <row r="11" spans="2:5" ht="15" customHeight="1">
      <c r="B11" s="33">
        <f ca="1">OFFSET(Data!B8,Control!$C$4,0,1,1)</f>
        <v>5</v>
      </c>
      <c r="C11" s="34" t="str">
        <f ca="1">OFFSET(Data!C8,Control!$C$4,0,1,1)</f>
        <v>Brazil</v>
      </c>
      <c r="D11" s="35"/>
      <c r="E11" s="36">
        <f ca="1">OFFSET(Data!D8,Control!$C$4,0)</f>
        <v>198739269</v>
      </c>
    </row>
    <row r="12" spans="2:5" ht="15" customHeight="1">
      <c r="B12" s="33">
        <f ca="1">OFFSET(Data!B9,Control!$C$4,0,1,1)</f>
        <v>6</v>
      </c>
      <c r="C12" s="34" t="str">
        <f ca="1">OFFSET(Data!C9,Control!$C$4,0,1,1)</f>
        <v>Pakistan</v>
      </c>
      <c r="D12" s="35"/>
      <c r="E12" s="36">
        <f ca="1">OFFSET(Data!D9,Control!$C$4,0)</f>
        <v>176242949</v>
      </c>
    </row>
    <row r="13" spans="2:5" ht="15" customHeight="1">
      <c r="B13" s="37">
        <f ca="1">OFFSET(Data!B10,Control!$C$4,0,1,1)</f>
        <v>7</v>
      </c>
      <c r="C13" s="38" t="str">
        <f ca="1">OFFSET(Data!C10,Control!$C$4,0,1,1)</f>
        <v>Bangladesh</v>
      </c>
      <c r="D13" s="39"/>
      <c r="E13" s="40">
        <f ca="1">OFFSET(Data!D10,Control!$C$4,0)</f>
        <v>156050883</v>
      </c>
    </row>
    <row r="14" spans="2:5" ht="15" customHeight="1">
      <c r="B14" s="37">
        <f ca="1">OFFSET(Data!B11,Control!$C$4,0,1,1)</f>
        <v>8</v>
      </c>
      <c r="C14" s="38" t="str">
        <f ca="1">OFFSET(Data!C11,Control!$C$4,0,1,1)</f>
        <v>Nigeria</v>
      </c>
      <c r="D14" s="39"/>
      <c r="E14" s="40">
        <f ca="1">OFFSET(Data!D11,Control!$C$4,0)</f>
        <v>149229090</v>
      </c>
    </row>
    <row r="15" spans="2:5" ht="15" customHeight="1">
      <c r="B15" s="37">
        <f ca="1">OFFSET(Data!B12,Control!$C$4,0,1,1)</f>
        <v>9</v>
      </c>
      <c r="C15" s="38" t="str">
        <f ca="1">OFFSET(Data!C12,Control!$C$4,0,1,1)</f>
        <v>Russia</v>
      </c>
      <c r="D15" s="39"/>
      <c r="E15" s="40">
        <f ca="1">OFFSET(Data!D12,Control!$C$4,0)</f>
        <v>140041247</v>
      </c>
    </row>
    <row r="16" spans="2:5" ht="15" customHeight="1">
      <c r="B16" s="37">
        <f ca="1">OFFSET(Data!B13,Control!$C$4,0,1,1)</f>
        <v>10</v>
      </c>
      <c r="C16" s="38" t="str">
        <f ca="1">OFFSET(Data!C13,Control!$C$4,0,1,1)</f>
        <v>Japan</v>
      </c>
      <c r="D16" s="39"/>
      <c r="E16" s="40">
        <f ca="1">OFFSET(Data!D13,Control!$C$4,0)</f>
        <v>127078679</v>
      </c>
    </row>
    <row r="17" spans="2:5" ht="15" customHeight="1">
      <c r="B17" s="37">
        <f ca="1">OFFSET(Data!B14,Control!$C$4,0,1,1)</f>
        <v>11</v>
      </c>
      <c r="C17" s="38" t="str">
        <f ca="1">OFFSET(Data!C14,Control!$C$4,0,1,1)</f>
        <v>Mexico</v>
      </c>
      <c r="D17" s="39"/>
      <c r="E17" s="40">
        <f ca="1">OFFSET(Data!D14,Control!$C$4,0)</f>
        <v>111211789</v>
      </c>
    </row>
    <row r="18" spans="2:5" ht="15" customHeight="1">
      <c r="B18" s="37">
        <f ca="1">OFFSET(Data!B15,Control!$C$4,0,1,1)</f>
        <v>12</v>
      </c>
      <c r="C18" s="38" t="str">
        <f ca="1">OFFSET(Data!C15,Control!$C$4,0,1,1)</f>
        <v>Philippines</v>
      </c>
      <c r="D18" s="39"/>
      <c r="E18" s="40">
        <f ca="1">OFFSET(Data!D15,Control!$C$4,0)</f>
        <v>97976603</v>
      </c>
    </row>
    <row r="19" spans="2:5" ht="15" customHeight="1">
      <c r="B19" s="37">
        <f ca="1">OFFSET(Data!B16,Control!$C$4,0,1,1)</f>
        <v>13</v>
      </c>
      <c r="C19" s="38" t="str">
        <f ca="1">OFFSET(Data!C16,Control!$C$4,0,1,1)</f>
        <v>Vietnam</v>
      </c>
      <c r="D19" s="39"/>
      <c r="E19" s="40">
        <f ca="1">OFFSET(Data!D16,Control!$C$4,0)</f>
        <v>86967524</v>
      </c>
    </row>
    <row r="20" spans="2:5" ht="15" customHeight="1">
      <c r="B20" s="37">
        <f ca="1">OFFSET(Data!B17,Control!$C$4,0,1,1)</f>
        <v>14</v>
      </c>
      <c r="C20" s="38" t="str">
        <f ca="1">OFFSET(Data!C17,Control!$C$4,0,1,1)</f>
        <v>Ethiopia</v>
      </c>
      <c r="D20" s="39"/>
      <c r="E20" s="40">
        <f ca="1">OFFSET(Data!D17,Control!$C$4,0)</f>
        <v>85237338</v>
      </c>
    </row>
    <row r="21" spans="2:5" ht="15" customHeight="1">
      <c r="B21" s="41">
        <f ca="1">OFFSET(Data!B18,Control!$C$4,0,1,1)</f>
        <v>15</v>
      </c>
      <c r="C21" s="42" t="str">
        <f ca="1">OFFSET(Data!C18,Control!$C$4,0,1,1)</f>
        <v>Egypt</v>
      </c>
      <c r="D21" s="43"/>
      <c r="E21" s="44">
        <f ca="1">OFFSET(Data!D18,Control!$C$4,0)</f>
        <v>83082869</v>
      </c>
    </row>
    <row r="22" spans="2:5" ht="12.75" customHeight="1">
      <c r="B22" s="23"/>
      <c r="C22" s="23"/>
      <c r="D22" s="14" t="str">
        <f ca="1">IF(Control!$C$4&lt;Control!$C$5,"▼","")</f>
        <v>▼</v>
      </c>
      <c r="E22" s="23"/>
    </row>
  </sheetData>
  <sheetProtection autoFilter="0"/>
  <phoneticPr fontId="0" type="noConversion"/>
  <pageMargins left="0.59055118110236227" right="0.59055118110236227" top="0.59055118110236227" bottom="0.59055118110236227" header="0.19685039370078741" footer="0.19685039370078741"/>
  <pageSetup paperSize="9" orientation="portrait" cellComments="atEnd" r:id="rId1"/>
  <headerFooter alignWithMargins="0"/>
  <legacyDrawing r:id="rId2"/>
  <controls>
    <control shapeId="5976417" r:id="rId3" name="Tex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02">
    <pageSetUpPr fitToPage="1"/>
  </sheetPr>
  <dimension ref="B1:D194"/>
  <sheetViews>
    <sheetView showGridLines="0" zoomScaleNormal="100" workbookViewId="0">
      <pane ySplit="4" topLeftCell="A5" activePane="bottomLeft" state="frozen"/>
      <selection pane="bottomLeft" activeCell="A5" sqref="A5"/>
    </sheetView>
  </sheetViews>
  <sheetFormatPr defaultColWidth="10.7109375" defaultRowHeight="12.75"/>
  <cols>
    <col min="1" max="1" width="1.7109375" style="9" customWidth="1"/>
    <col min="2" max="2" width="5.7109375" style="9" customWidth="1"/>
    <col min="3" max="3" width="35.7109375" style="9" customWidth="1"/>
    <col min="4" max="4" width="15.7109375" style="9" customWidth="1"/>
    <col min="5" max="5" width="1.7109375" style="9" customWidth="1"/>
    <col min="6" max="16384" width="10.7109375" style="9"/>
  </cols>
  <sheetData>
    <row r="1" spans="2:4" s="10" customFormat="1" ht="12.75" customHeight="1">
      <c r="B1" s="21"/>
      <c r="C1" s="21"/>
      <c r="D1" s="21"/>
    </row>
    <row r="2" spans="2:4" s="10" customFormat="1" ht="30" customHeight="1" thickBot="1">
      <c r="B2" s="28" t="s">
        <v>0</v>
      </c>
      <c r="C2" s="28"/>
      <c r="D2" s="28"/>
    </row>
    <row r="3" spans="2:4" ht="12.75" customHeight="1">
      <c r="B3" s="11"/>
      <c r="C3" s="11"/>
      <c r="D3" s="11"/>
    </row>
    <row r="4" spans="2:4" ht="12.75" customHeight="1">
      <c r="B4" s="4" t="s">
        <v>2</v>
      </c>
      <c r="C4" s="12" t="s">
        <v>4</v>
      </c>
      <c r="D4" s="4" t="s">
        <v>5</v>
      </c>
    </row>
    <row r="5" spans="2:4" ht="12.75" customHeight="1">
      <c r="B5" s="5">
        <v>1</v>
      </c>
      <c r="C5" s="15" t="s">
        <v>41</v>
      </c>
      <c r="D5" s="16">
        <v>1338612968</v>
      </c>
    </row>
    <row r="6" spans="2:4" ht="12.75" customHeight="1">
      <c r="B6" s="6">
        <f>B5+1</f>
        <v>2</v>
      </c>
      <c r="C6" s="17" t="s">
        <v>81</v>
      </c>
      <c r="D6" s="18">
        <v>1166079217</v>
      </c>
    </row>
    <row r="7" spans="2:4" ht="12.75" customHeight="1">
      <c r="B7" s="6">
        <f t="shared" ref="B7:B70" si="0">B6+1</f>
        <v>3</v>
      </c>
      <c r="C7" s="17" t="s">
        <v>185</v>
      </c>
      <c r="D7" s="18">
        <v>307212123</v>
      </c>
    </row>
    <row r="8" spans="2:4" ht="12.75" customHeight="1">
      <c r="B8" s="6">
        <f>B7+1</f>
        <v>4</v>
      </c>
      <c r="C8" s="17" t="s">
        <v>82</v>
      </c>
      <c r="D8" s="18">
        <v>240271522</v>
      </c>
    </row>
    <row r="9" spans="2:4" ht="12.75" customHeight="1">
      <c r="B9" s="6">
        <f t="shared" si="0"/>
        <v>5</v>
      </c>
      <c r="C9" s="17" t="s">
        <v>29</v>
      </c>
      <c r="D9" s="18">
        <v>198739269</v>
      </c>
    </row>
    <row r="10" spans="2:4" ht="12.75" customHeight="1">
      <c r="B10" s="6">
        <f t="shared" si="0"/>
        <v>6</v>
      </c>
      <c r="C10" s="17" t="s">
        <v>135</v>
      </c>
      <c r="D10" s="18">
        <v>176242949</v>
      </c>
    </row>
    <row r="11" spans="2:4" ht="12.75" customHeight="1">
      <c r="B11" s="6">
        <f t="shared" si="0"/>
        <v>7</v>
      </c>
      <c r="C11" s="17" t="s">
        <v>19</v>
      </c>
      <c r="D11" s="18">
        <v>156050883</v>
      </c>
    </row>
    <row r="12" spans="2:4" ht="12.75" customHeight="1">
      <c r="B12" s="6">
        <f t="shared" si="0"/>
        <v>8</v>
      </c>
      <c r="C12" s="17" t="s">
        <v>132</v>
      </c>
      <c r="D12" s="18">
        <v>149229090</v>
      </c>
    </row>
    <row r="13" spans="2:4" ht="12.75" customHeight="1">
      <c r="B13" s="6">
        <f t="shared" si="0"/>
        <v>9</v>
      </c>
      <c r="C13" s="17" t="s">
        <v>146</v>
      </c>
      <c r="D13" s="18">
        <v>140041247</v>
      </c>
    </row>
    <row r="14" spans="2:4" ht="12.75" customHeight="1">
      <c r="B14" s="6">
        <f t="shared" si="0"/>
        <v>10</v>
      </c>
      <c r="C14" s="17" t="s">
        <v>89</v>
      </c>
      <c r="D14" s="18">
        <v>127078679</v>
      </c>
    </row>
    <row r="15" spans="2:4" ht="12.75" customHeight="1">
      <c r="B15" s="6">
        <f t="shared" si="0"/>
        <v>11</v>
      </c>
      <c r="C15" s="17" t="s">
        <v>117</v>
      </c>
      <c r="D15" s="18">
        <v>111211789</v>
      </c>
    </row>
    <row r="16" spans="2:4" ht="12.75" customHeight="1">
      <c r="B16" s="6">
        <f t="shared" si="0"/>
        <v>12</v>
      </c>
      <c r="C16" s="17" t="s">
        <v>141</v>
      </c>
      <c r="D16" s="18">
        <v>97976603</v>
      </c>
    </row>
    <row r="17" spans="2:4" ht="12.75" customHeight="1">
      <c r="B17" s="6">
        <f t="shared" si="0"/>
        <v>13</v>
      </c>
      <c r="C17" s="17" t="s">
        <v>190</v>
      </c>
      <c r="D17" s="18">
        <v>86967524</v>
      </c>
    </row>
    <row r="18" spans="2:4" ht="12.75" customHeight="1">
      <c r="B18" s="6">
        <f t="shared" si="0"/>
        <v>14</v>
      </c>
      <c r="C18" s="17" t="s">
        <v>62</v>
      </c>
      <c r="D18" s="18">
        <v>85237338</v>
      </c>
    </row>
    <row r="19" spans="2:4" ht="12.75" customHeight="1">
      <c r="B19" s="6">
        <f t="shared" si="0"/>
        <v>15</v>
      </c>
      <c r="C19" s="17" t="s">
        <v>57</v>
      </c>
      <c r="D19" s="18">
        <v>83082869</v>
      </c>
    </row>
    <row r="20" spans="2:4" ht="12.75" customHeight="1">
      <c r="B20" s="6">
        <f t="shared" si="0"/>
        <v>16</v>
      </c>
      <c r="C20" s="17" t="s">
        <v>69</v>
      </c>
      <c r="D20" s="18">
        <v>82329758</v>
      </c>
    </row>
    <row r="21" spans="2:4" ht="12.75" customHeight="1">
      <c r="B21" s="6">
        <f t="shared" si="0"/>
        <v>17</v>
      </c>
      <c r="C21" s="17" t="s">
        <v>178</v>
      </c>
      <c r="D21" s="18">
        <v>76805524</v>
      </c>
    </row>
    <row r="22" spans="2:4" ht="12.75" customHeight="1">
      <c r="B22" s="6">
        <f t="shared" si="0"/>
        <v>18</v>
      </c>
      <c r="C22" s="17" t="s">
        <v>44</v>
      </c>
      <c r="D22" s="18">
        <v>68692542</v>
      </c>
    </row>
    <row r="23" spans="2:4" ht="12.75" customHeight="1">
      <c r="B23" s="6">
        <f t="shared" si="0"/>
        <v>19</v>
      </c>
      <c r="C23" s="17" t="s">
        <v>83</v>
      </c>
      <c r="D23" s="18">
        <v>66429284</v>
      </c>
    </row>
    <row r="24" spans="2:4" ht="12.75" customHeight="1">
      <c r="B24" s="6">
        <f t="shared" si="0"/>
        <v>20</v>
      </c>
      <c r="C24" s="17" t="s">
        <v>172</v>
      </c>
      <c r="D24" s="18">
        <v>65905410</v>
      </c>
    </row>
    <row r="25" spans="2:4" ht="12.75" customHeight="1">
      <c r="B25" s="6">
        <f t="shared" si="0"/>
        <v>21</v>
      </c>
      <c r="C25" s="17" t="s">
        <v>65</v>
      </c>
      <c r="D25" s="18">
        <v>64057792</v>
      </c>
    </row>
    <row r="26" spans="2:4" ht="12.75" customHeight="1">
      <c r="B26" s="6">
        <f t="shared" si="0"/>
        <v>22</v>
      </c>
      <c r="C26" s="17" t="s">
        <v>184</v>
      </c>
      <c r="D26" s="18">
        <v>61113205</v>
      </c>
    </row>
    <row r="27" spans="2:4" ht="12.75" customHeight="1">
      <c r="B27" s="6">
        <f t="shared" si="0"/>
        <v>23</v>
      </c>
      <c r="C27" s="17" t="s">
        <v>87</v>
      </c>
      <c r="D27" s="18">
        <v>58126212</v>
      </c>
    </row>
    <row r="28" spans="2:4" ht="12.75" customHeight="1">
      <c r="B28" s="6">
        <f t="shared" si="0"/>
        <v>24</v>
      </c>
      <c r="C28" s="17" t="s">
        <v>160</v>
      </c>
      <c r="D28" s="18">
        <v>49052489</v>
      </c>
    </row>
    <row r="29" spans="2:4" ht="12.75" customHeight="1">
      <c r="B29" s="6">
        <f t="shared" si="0"/>
        <v>25</v>
      </c>
      <c r="C29" s="17" t="s">
        <v>95</v>
      </c>
      <c r="D29" s="18">
        <v>48508972</v>
      </c>
    </row>
    <row r="30" spans="2:4" ht="12.75" customHeight="1">
      <c r="B30" s="6">
        <f t="shared" si="0"/>
        <v>26</v>
      </c>
      <c r="C30" s="17" t="s">
        <v>32</v>
      </c>
      <c r="D30" s="18">
        <v>48137741</v>
      </c>
    </row>
    <row r="31" spans="2:4" ht="12.75" customHeight="1">
      <c r="B31" s="6">
        <f t="shared" si="0"/>
        <v>27</v>
      </c>
      <c r="C31" s="17" t="s">
        <v>182</v>
      </c>
      <c r="D31" s="18">
        <v>45700395</v>
      </c>
    </row>
    <row r="32" spans="2:4" ht="12.75" customHeight="1">
      <c r="B32" s="6">
        <f t="shared" si="0"/>
        <v>28</v>
      </c>
      <c r="C32" s="17" t="s">
        <v>42</v>
      </c>
      <c r="D32" s="18">
        <v>45644023</v>
      </c>
    </row>
    <row r="33" spans="2:4" ht="12.75" customHeight="1">
      <c r="B33" s="6">
        <f t="shared" si="0"/>
        <v>29</v>
      </c>
      <c r="C33" s="17" t="s">
        <v>163</v>
      </c>
      <c r="D33" s="18">
        <v>41087825</v>
      </c>
    </row>
    <row r="34" spans="2:4" ht="12.75" customHeight="1">
      <c r="B34" s="6">
        <f t="shared" si="0"/>
        <v>30</v>
      </c>
      <c r="C34" s="17" t="s">
        <v>171</v>
      </c>
      <c r="D34" s="18">
        <v>41048532</v>
      </c>
    </row>
    <row r="35" spans="2:4" ht="12.75" customHeight="1">
      <c r="B35" s="6">
        <f t="shared" si="0"/>
        <v>31</v>
      </c>
      <c r="C35" s="17" t="s">
        <v>12</v>
      </c>
      <c r="D35" s="18">
        <v>40913584</v>
      </c>
    </row>
    <row r="36" spans="2:4" ht="12.75" customHeight="1">
      <c r="B36" s="6">
        <f t="shared" si="0"/>
        <v>32</v>
      </c>
      <c r="C36" s="17" t="s">
        <v>161</v>
      </c>
      <c r="D36" s="18">
        <v>40525002</v>
      </c>
    </row>
    <row r="37" spans="2:4" ht="12.75" customHeight="1">
      <c r="B37" s="6">
        <f t="shared" si="0"/>
        <v>33</v>
      </c>
      <c r="C37" s="17" t="s">
        <v>92</v>
      </c>
      <c r="D37" s="18">
        <v>39002772</v>
      </c>
    </row>
    <row r="38" spans="2:4" ht="12.75" customHeight="1">
      <c r="B38" s="6">
        <f t="shared" si="0"/>
        <v>34</v>
      </c>
      <c r="C38" s="17" t="s">
        <v>142</v>
      </c>
      <c r="D38" s="18">
        <v>38482919</v>
      </c>
    </row>
    <row r="39" spans="2:4" ht="12.75" customHeight="1">
      <c r="B39" s="6">
        <f t="shared" si="0"/>
        <v>35</v>
      </c>
      <c r="C39" s="17" t="s">
        <v>123</v>
      </c>
      <c r="D39" s="18">
        <v>34859364</v>
      </c>
    </row>
    <row r="40" spans="2:4" ht="12.75" customHeight="1">
      <c r="B40" s="6">
        <f t="shared" si="0"/>
        <v>36</v>
      </c>
      <c r="C40" s="17" t="s">
        <v>8</v>
      </c>
      <c r="D40" s="18">
        <v>34178188</v>
      </c>
    </row>
    <row r="41" spans="2:4" ht="12.75" customHeight="1">
      <c r="B41" s="6">
        <f t="shared" si="0"/>
        <v>37</v>
      </c>
      <c r="C41" s="17" t="s">
        <v>6</v>
      </c>
      <c r="D41" s="18">
        <v>33609937</v>
      </c>
    </row>
    <row r="42" spans="2:4" ht="12.75" customHeight="1">
      <c r="B42" s="6">
        <f t="shared" si="0"/>
        <v>38</v>
      </c>
      <c r="C42" s="17" t="s">
        <v>36</v>
      </c>
      <c r="D42" s="18">
        <v>33487208</v>
      </c>
    </row>
    <row r="43" spans="2:4" ht="12.75" customHeight="1">
      <c r="B43" s="6">
        <f t="shared" si="0"/>
        <v>39</v>
      </c>
      <c r="C43" s="17" t="s">
        <v>181</v>
      </c>
      <c r="D43" s="18">
        <v>32369558</v>
      </c>
    </row>
    <row r="44" spans="2:4" ht="12.75" customHeight="1">
      <c r="B44" s="6">
        <f t="shared" si="0"/>
        <v>40</v>
      </c>
      <c r="C44" s="17" t="s">
        <v>140</v>
      </c>
      <c r="D44" s="18">
        <v>29546963</v>
      </c>
    </row>
    <row r="45" spans="2:4" ht="12.75" customHeight="1">
      <c r="B45" s="6">
        <f t="shared" si="0"/>
        <v>41</v>
      </c>
      <c r="C45" s="17" t="s">
        <v>84</v>
      </c>
      <c r="D45" s="18">
        <v>28945657</v>
      </c>
    </row>
    <row r="46" spans="2:4" ht="12.75" customHeight="1">
      <c r="B46" s="6">
        <f t="shared" si="0"/>
        <v>42</v>
      </c>
      <c r="C46" s="17" t="s">
        <v>150</v>
      </c>
      <c r="D46" s="18">
        <v>28686633</v>
      </c>
    </row>
    <row r="47" spans="2:4" ht="12.75" customHeight="1">
      <c r="B47" s="6">
        <f t="shared" si="0"/>
        <v>43</v>
      </c>
      <c r="C47" s="17" t="s">
        <v>127</v>
      </c>
      <c r="D47" s="18">
        <v>28563377</v>
      </c>
    </row>
    <row r="48" spans="2:4" ht="12.75" customHeight="1">
      <c r="B48" s="6">
        <f t="shared" si="0"/>
        <v>44</v>
      </c>
      <c r="C48" s="17" t="s">
        <v>187</v>
      </c>
      <c r="D48" s="18">
        <v>27606007</v>
      </c>
    </row>
    <row r="49" spans="2:4" ht="12.75" customHeight="1">
      <c r="B49" s="6">
        <f t="shared" si="0"/>
        <v>45</v>
      </c>
      <c r="C49" s="17" t="s">
        <v>189</v>
      </c>
      <c r="D49" s="18">
        <v>26814843</v>
      </c>
    </row>
    <row r="50" spans="2:4" ht="12.75" customHeight="1">
      <c r="B50" s="6">
        <f t="shared" si="0"/>
        <v>46</v>
      </c>
      <c r="C50" s="17" t="s">
        <v>110</v>
      </c>
      <c r="D50" s="18">
        <v>25715819</v>
      </c>
    </row>
    <row r="51" spans="2:4" ht="12.75" customHeight="1">
      <c r="B51" s="6">
        <f t="shared" si="0"/>
        <v>47</v>
      </c>
      <c r="C51" s="17" t="s">
        <v>70</v>
      </c>
      <c r="D51" s="18">
        <v>23832495</v>
      </c>
    </row>
    <row r="52" spans="2:4" ht="12.75" customHeight="1">
      <c r="B52" s="6">
        <f t="shared" si="0"/>
        <v>48</v>
      </c>
      <c r="C52" s="17" t="s">
        <v>192</v>
      </c>
      <c r="D52" s="18">
        <v>23822783</v>
      </c>
    </row>
    <row r="53" spans="2:4" ht="12.75" customHeight="1">
      <c r="B53" s="6">
        <f t="shared" si="0"/>
        <v>49</v>
      </c>
      <c r="C53" s="17" t="s">
        <v>169</v>
      </c>
      <c r="D53" s="18">
        <v>22974347</v>
      </c>
    </row>
    <row r="54" spans="2:4" ht="12.75" customHeight="1">
      <c r="B54" s="6">
        <f t="shared" si="0"/>
        <v>50</v>
      </c>
      <c r="C54" s="17" t="s">
        <v>169</v>
      </c>
      <c r="D54" s="18">
        <v>22974347</v>
      </c>
    </row>
    <row r="55" spans="2:4" ht="12.75" customHeight="1">
      <c r="B55" s="6">
        <f t="shared" si="0"/>
        <v>51</v>
      </c>
      <c r="C55" s="17" t="s">
        <v>94</v>
      </c>
      <c r="D55" s="18">
        <v>22665345</v>
      </c>
    </row>
    <row r="56" spans="2:4" ht="12.75" customHeight="1">
      <c r="B56" s="6">
        <f t="shared" si="0"/>
        <v>52</v>
      </c>
      <c r="C56" s="17" t="s">
        <v>145</v>
      </c>
      <c r="D56" s="18">
        <v>22215421</v>
      </c>
    </row>
    <row r="57" spans="2:4" ht="12.75" customHeight="1">
      <c r="B57" s="6">
        <f t="shared" si="0"/>
        <v>53</v>
      </c>
      <c r="C57" s="17" t="s">
        <v>124</v>
      </c>
      <c r="D57" s="18">
        <v>21669278</v>
      </c>
    </row>
    <row r="58" spans="2:4" ht="12.75" customHeight="1">
      <c r="B58" s="6">
        <f t="shared" si="0"/>
        <v>54</v>
      </c>
      <c r="C58" s="17" t="s">
        <v>162</v>
      </c>
      <c r="D58" s="18">
        <v>21324791</v>
      </c>
    </row>
    <row r="59" spans="2:4" ht="12.75" customHeight="1">
      <c r="B59" s="6">
        <f t="shared" si="0"/>
        <v>55</v>
      </c>
      <c r="C59" s="17" t="s">
        <v>14</v>
      </c>
      <c r="D59" s="18">
        <v>21262641</v>
      </c>
    </row>
    <row r="60" spans="2:4" ht="12.75" customHeight="1">
      <c r="B60" s="6">
        <f t="shared" si="0"/>
        <v>56</v>
      </c>
      <c r="C60" s="17" t="s">
        <v>108</v>
      </c>
      <c r="D60" s="18">
        <v>20653556</v>
      </c>
    </row>
    <row r="61" spans="2:4" ht="12.75" customHeight="1">
      <c r="B61" s="6">
        <f t="shared" si="0"/>
        <v>57</v>
      </c>
      <c r="C61" s="17" t="s">
        <v>47</v>
      </c>
      <c r="D61" s="18">
        <v>20617068</v>
      </c>
    </row>
    <row r="62" spans="2:4" ht="12.75" customHeight="1">
      <c r="B62" s="6">
        <f t="shared" si="0"/>
        <v>58</v>
      </c>
      <c r="C62" s="17" t="s">
        <v>168</v>
      </c>
      <c r="D62" s="18">
        <v>20178485</v>
      </c>
    </row>
    <row r="63" spans="2:4" ht="12.75" customHeight="1">
      <c r="B63" s="6">
        <f t="shared" si="0"/>
        <v>59</v>
      </c>
      <c r="C63" s="17" t="s">
        <v>35</v>
      </c>
      <c r="D63" s="18">
        <v>18879301</v>
      </c>
    </row>
    <row r="64" spans="2:4" ht="12.75" customHeight="1">
      <c r="B64" s="6">
        <f t="shared" si="0"/>
        <v>60</v>
      </c>
      <c r="C64" s="17" t="s">
        <v>128</v>
      </c>
      <c r="D64" s="18">
        <v>16715999</v>
      </c>
    </row>
    <row r="65" spans="2:4" ht="12.75" customHeight="1">
      <c r="B65" s="6">
        <f t="shared" si="0"/>
        <v>61</v>
      </c>
      <c r="C65" s="17" t="s">
        <v>40</v>
      </c>
      <c r="D65" s="18">
        <v>16601707</v>
      </c>
    </row>
    <row r="66" spans="2:4" ht="12.75" customHeight="1">
      <c r="B66" s="6">
        <f t="shared" si="0"/>
        <v>62</v>
      </c>
      <c r="C66" s="17" t="s">
        <v>31</v>
      </c>
      <c r="D66" s="18">
        <v>15746232</v>
      </c>
    </row>
    <row r="67" spans="2:4" ht="12.75" customHeight="1">
      <c r="B67" s="6">
        <f t="shared" si="0"/>
        <v>63</v>
      </c>
      <c r="C67" s="17" t="s">
        <v>91</v>
      </c>
      <c r="D67" s="18">
        <v>15399437</v>
      </c>
    </row>
    <row r="68" spans="2:4" ht="12.75" customHeight="1">
      <c r="B68" s="6">
        <f t="shared" si="0"/>
        <v>64</v>
      </c>
      <c r="C68" s="17" t="s">
        <v>131</v>
      </c>
      <c r="D68" s="18">
        <v>15306252</v>
      </c>
    </row>
    <row r="69" spans="2:4" ht="12.75" customHeight="1">
      <c r="B69" s="6">
        <f t="shared" si="0"/>
        <v>65</v>
      </c>
      <c r="C69" s="17" t="s">
        <v>56</v>
      </c>
      <c r="D69" s="18">
        <v>14573101</v>
      </c>
    </row>
    <row r="70" spans="2:4" ht="12.75" customHeight="1">
      <c r="B70" s="6">
        <f t="shared" si="0"/>
        <v>66</v>
      </c>
      <c r="C70" s="17" t="s">
        <v>34</v>
      </c>
      <c r="D70" s="18">
        <v>14494293</v>
      </c>
    </row>
    <row r="71" spans="2:4" ht="12.75" customHeight="1">
      <c r="B71" s="6">
        <f t="shared" ref="B71:B134" si="1">B70+1</f>
        <v>67</v>
      </c>
      <c r="C71" s="17" t="s">
        <v>109</v>
      </c>
      <c r="D71" s="18">
        <v>14268711</v>
      </c>
    </row>
    <row r="72" spans="2:4" ht="12.75" customHeight="1">
      <c r="B72" s="6">
        <f t="shared" si="1"/>
        <v>68</v>
      </c>
      <c r="C72" s="17" t="s">
        <v>151</v>
      </c>
      <c r="D72" s="18">
        <v>13711597</v>
      </c>
    </row>
    <row r="73" spans="2:4" ht="12.75" customHeight="1">
      <c r="B73" s="6">
        <f t="shared" si="1"/>
        <v>69</v>
      </c>
      <c r="C73" s="17" t="s">
        <v>73</v>
      </c>
      <c r="D73" s="18">
        <v>13276517</v>
      </c>
    </row>
    <row r="74" spans="2:4" ht="12.75" customHeight="1">
      <c r="B74" s="6">
        <f t="shared" si="1"/>
        <v>70</v>
      </c>
      <c r="C74" s="17" t="s">
        <v>10</v>
      </c>
      <c r="D74" s="18">
        <v>12799293</v>
      </c>
    </row>
    <row r="75" spans="2:4" ht="12.75" customHeight="1">
      <c r="B75" s="6">
        <f t="shared" si="1"/>
        <v>71</v>
      </c>
      <c r="C75" s="17" t="s">
        <v>112</v>
      </c>
      <c r="D75" s="18">
        <v>12666987</v>
      </c>
    </row>
    <row r="76" spans="2:4" ht="12.75" customHeight="1">
      <c r="B76" s="6">
        <f t="shared" si="1"/>
        <v>72</v>
      </c>
      <c r="C76" s="17" t="s">
        <v>193</v>
      </c>
      <c r="D76" s="18">
        <v>11862740</v>
      </c>
    </row>
    <row r="77" spans="2:4" ht="12.75" customHeight="1">
      <c r="B77" s="6">
        <f t="shared" si="1"/>
        <v>73</v>
      </c>
      <c r="C77" s="17" t="s">
        <v>49</v>
      </c>
      <c r="D77" s="18">
        <v>11451652</v>
      </c>
    </row>
    <row r="78" spans="2:4" ht="12.75" customHeight="1">
      <c r="B78" s="6">
        <f t="shared" si="1"/>
        <v>74</v>
      </c>
      <c r="C78" s="17" t="s">
        <v>194</v>
      </c>
      <c r="D78" s="18">
        <v>11392629</v>
      </c>
    </row>
    <row r="79" spans="2:4" ht="12.75" customHeight="1">
      <c r="B79" s="6">
        <f t="shared" si="1"/>
        <v>75</v>
      </c>
      <c r="C79" s="17" t="s">
        <v>71</v>
      </c>
      <c r="D79" s="18">
        <v>10737428</v>
      </c>
    </row>
    <row r="80" spans="2:4" ht="12.75" customHeight="1">
      <c r="B80" s="6">
        <f t="shared" si="1"/>
        <v>76</v>
      </c>
      <c r="C80" s="17" t="s">
        <v>143</v>
      </c>
      <c r="D80" s="18">
        <v>10707924</v>
      </c>
    </row>
    <row r="81" spans="2:4" ht="12.75" customHeight="1">
      <c r="B81" s="6">
        <f t="shared" si="1"/>
        <v>77</v>
      </c>
      <c r="C81" s="17" t="s">
        <v>177</v>
      </c>
      <c r="D81" s="18">
        <v>10486339</v>
      </c>
    </row>
    <row r="82" spans="2:4" ht="12.75" customHeight="1">
      <c r="B82" s="6">
        <f t="shared" si="1"/>
        <v>78</v>
      </c>
      <c r="C82" s="17" t="s">
        <v>147</v>
      </c>
      <c r="D82" s="18">
        <v>10473282</v>
      </c>
    </row>
    <row r="83" spans="2:4" ht="12.75" customHeight="1">
      <c r="B83" s="6">
        <f t="shared" si="1"/>
        <v>79</v>
      </c>
      <c r="C83" s="17" t="s">
        <v>22</v>
      </c>
      <c r="D83" s="18">
        <v>10414336</v>
      </c>
    </row>
    <row r="84" spans="2:4" ht="12.75" customHeight="1">
      <c r="B84" s="6">
        <f t="shared" si="1"/>
        <v>80</v>
      </c>
      <c r="C84" s="17" t="s">
        <v>39</v>
      </c>
      <c r="D84" s="18">
        <v>10329208</v>
      </c>
    </row>
    <row r="85" spans="2:4" ht="12.75" customHeight="1">
      <c r="B85" s="6">
        <f t="shared" si="1"/>
        <v>81</v>
      </c>
      <c r="C85" s="17" t="s">
        <v>51</v>
      </c>
      <c r="D85" s="18">
        <v>10211904</v>
      </c>
    </row>
    <row r="86" spans="2:4" ht="12.75" customHeight="1">
      <c r="B86" s="6">
        <f t="shared" si="1"/>
        <v>82</v>
      </c>
      <c r="C86" s="17" t="s">
        <v>74</v>
      </c>
      <c r="D86" s="18">
        <v>10057975</v>
      </c>
    </row>
    <row r="87" spans="2:4" ht="12.75" customHeight="1">
      <c r="B87" s="6">
        <f t="shared" si="1"/>
        <v>83</v>
      </c>
      <c r="C87" s="17" t="s">
        <v>79</v>
      </c>
      <c r="D87" s="18">
        <v>9905596</v>
      </c>
    </row>
    <row r="88" spans="2:4" ht="12.75" customHeight="1">
      <c r="B88" s="6">
        <f t="shared" si="1"/>
        <v>84</v>
      </c>
      <c r="C88" s="17" t="s">
        <v>159</v>
      </c>
      <c r="D88" s="18">
        <v>9832017</v>
      </c>
    </row>
    <row r="89" spans="2:4" ht="12.75" customHeight="1">
      <c r="B89" s="6">
        <f t="shared" si="1"/>
        <v>85</v>
      </c>
      <c r="C89" s="17" t="s">
        <v>26</v>
      </c>
      <c r="D89" s="18">
        <v>9775246</v>
      </c>
    </row>
    <row r="90" spans="2:4" ht="12.75" customHeight="1">
      <c r="B90" s="6">
        <f t="shared" si="1"/>
        <v>86</v>
      </c>
      <c r="C90" s="17" t="s">
        <v>55</v>
      </c>
      <c r="D90" s="18">
        <v>9650054</v>
      </c>
    </row>
    <row r="91" spans="2:4" ht="12.75" customHeight="1">
      <c r="B91" s="6">
        <f t="shared" si="1"/>
        <v>87</v>
      </c>
      <c r="C91" s="17" t="s">
        <v>21</v>
      </c>
      <c r="D91" s="18">
        <v>9648533</v>
      </c>
    </row>
    <row r="92" spans="2:4" ht="12.75" customHeight="1">
      <c r="B92" s="6">
        <f t="shared" si="1"/>
        <v>88</v>
      </c>
      <c r="C92" s="17" t="s">
        <v>166</v>
      </c>
      <c r="D92" s="18">
        <v>9059651</v>
      </c>
    </row>
    <row r="93" spans="2:4" ht="12.75" customHeight="1">
      <c r="B93" s="6">
        <f t="shared" si="1"/>
        <v>89</v>
      </c>
      <c r="C93" s="17" t="s">
        <v>77</v>
      </c>
      <c r="D93" s="18">
        <v>9035536</v>
      </c>
    </row>
    <row r="94" spans="2:4" ht="12.75" customHeight="1">
      <c r="B94" s="6">
        <f t="shared" si="1"/>
        <v>90</v>
      </c>
      <c r="C94" s="17" t="s">
        <v>33</v>
      </c>
      <c r="D94" s="18">
        <v>8988091</v>
      </c>
    </row>
    <row r="95" spans="2:4" ht="12.75" customHeight="1">
      <c r="B95" s="6">
        <f t="shared" si="1"/>
        <v>91</v>
      </c>
      <c r="C95" s="17" t="s">
        <v>24</v>
      </c>
      <c r="D95" s="18">
        <v>8791832</v>
      </c>
    </row>
    <row r="96" spans="2:4" ht="12.75" customHeight="1">
      <c r="B96" s="6">
        <f t="shared" si="1"/>
        <v>92</v>
      </c>
      <c r="C96" s="17" t="s">
        <v>16</v>
      </c>
      <c r="D96" s="18">
        <v>8238672</v>
      </c>
    </row>
    <row r="97" spans="2:4" ht="12.75" customHeight="1">
      <c r="B97" s="6">
        <f t="shared" si="1"/>
        <v>93</v>
      </c>
      <c r="C97" s="17" t="s">
        <v>15</v>
      </c>
      <c r="D97" s="18">
        <v>8210281</v>
      </c>
    </row>
    <row r="98" spans="2:4" ht="12.75" customHeight="1">
      <c r="B98" s="6">
        <f t="shared" si="1"/>
        <v>94</v>
      </c>
      <c r="C98" s="17" t="s">
        <v>78</v>
      </c>
      <c r="D98" s="18">
        <v>7792854</v>
      </c>
    </row>
    <row r="99" spans="2:4" ht="12.75" customHeight="1">
      <c r="B99" s="6">
        <f t="shared" si="1"/>
        <v>95</v>
      </c>
      <c r="C99" s="17" t="s">
        <v>167</v>
      </c>
      <c r="D99" s="18">
        <v>7604467</v>
      </c>
    </row>
    <row r="100" spans="2:4" ht="12.75" customHeight="1">
      <c r="B100" s="6">
        <f t="shared" si="1"/>
        <v>96</v>
      </c>
      <c r="C100" s="17" t="s">
        <v>152</v>
      </c>
      <c r="D100" s="18">
        <v>7379339</v>
      </c>
    </row>
    <row r="101" spans="2:4" ht="12.75" customHeight="1">
      <c r="B101" s="6">
        <f t="shared" si="1"/>
        <v>97</v>
      </c>
      <c r="C101" s="17" t="s">
        <v>170</v>
      </c>
      <c r="D101" s="18">
        <v>7349145</v>
      </c>
    </row>
    <row r="102" spans="2:4" ht="12.75" customHeight="1">
      <c r="B102" s="6">
        <f t="shared" si="1"/>
        <v>98</v>
      </c>
      <c r="C102" s="17" t="s">
        <v>86</v>
      </c>
      <c r="D102" s="18">
        <v>7233701</v>
      </c>
    </row>
    <row r="103" spans="2:4" ht="12.75" customHeight="1">
      <c r="B103" s="6">
        <f t="shared" si="1"/>
        <v>99</v>
      </c>
      <c r="C103" s="17" t="s">
        <v>30</v>
      </c>
      <c r="D103" s="18">
        <v>7204687</v>
      </c>
    </row>
    <row r="104" spans="2:4" ht="12.75" customHeight="1">
      <c r="B104" s="6">
        <f t="shared" si="1"/>
        <v>100</v>
      </c>
      <c r="C104" s="17" t="s">
        <v>58</v>
      </c>
      <c r="D104" s="18">
        <v>7185218</v>
      </c>
    </row>
    <row r="105" spans="2:4" ht="12.75" customHeight="1">
      <c r="B105" s="6">
        <f t="shared" si="1"/>
        <v>101</v>
      </c>
      <c r="C105" s="17" t="s">
        <v>139</v>
      </c>
      <c r="D105" s="18">
        <v>6995655</v>
      </c>
    </row>
    <row r="106" spans="2:4" ht="12.75" customHeight="1">
      <c r="B106" s="6">
        <f t="shared" si="1"/>
        <v>102</v>
      </c>
      <c r="C106" s="17" t="s">
        <v>98</v>
      </c>
      <c r="D106" s="18">
        <v>6834942</v>
      </c>
    </row>
    <row r="107" spans="2:4" ht="12.75" customHeight="1">
      <c r="B107" s="6">
        <f t="shared" si="1"/>
        <v>103</v>
      </c>
      <c r="C107" s="17" t="s">
        <v>154</v>
      </c>
      <c r="D107" s="18">
        <v>6440053</v>
      </c>
    </row>
    <row r="108" spans="2:4" ht="12.75" customHeight="1">
      <c r="B108" s="6">
        <f t="shared" si="1"/>
        <v>104</v>
      </c>
      <c r="C108" s="17" t="s">
        <v>90</v>
      </c>
      <c r="D108" s="18">
        <v>6342948</v>
      </c>
    </row>
    <row r="109" spans="2:4" ht="12.75" customHeight="1">
      <c r="B109" s="6">
        <f t="shared" si="1"/>
        <v>105</v>
      </c>
      <c r="C109" s="17" t="s">
        <v>103</v>
      </c>
      <c r="D109" s="18">
        <v>6310434</v>
      </c>
    </row>
    <row r="110" spans="2:4" ht="12.75" customHeight="1">
      <c r="B110" s="6">
        <f t="shared" si="1"/>
        <v>106</v>
      </c>
      <c r="C110" s="17" t="s">
        <v>138</v>
      </c>
      <c r="D110" s="18">
        <v>6057263</v>
      </c>
    </row>
    <row r="111" spans="2:4" ht="12.75" customHeight="1">
      <c r="B111" s="6">
        <f t="shared" si="1"/>
        <v>107</v>
      </c>
      <c r="C111" s="17" t="s">
        <v>174</v>
      </c>
      <c r="D111" s="18">
        <v>6019877</v>
      </c>
    </row>
    <row r="112" spans="2:4" ht="12.75" customHeight="1">
      <c r="B112" s="6">
        <f t="shared" si="1"/>
        <v>108</v>
      </c>
      <c r="C112" s="17" t="s">
        <v>130</v>
      </c>
      <c r="D112" s="18">
        <v>5891199</v>
      </c>
    </row>
    <row r="113" spans="2:4" ht="12.75" customHeight="1">
      <c r="B113" s="6">
        <f t="shared" si="1"/>
        <v>109</v>
      </c>
      <c r="C113" s="17" t="s">
        <v>60</v>
      </c>
      <c r="D113" s="18">
        <v>5647168</v>
      </c>
    </row>
    <row r="114" spans="2:4" ht="12.75" customHeight="1">
      <c r="B114" s="6">
        <f t="shared" si="1"/>
        <v>110</v>
      </c>
      <c r="C114" s="17" t="s">
        <v>52</v>
      </c>
      <c r="D114" s="18">
        <v>5500510</v>
      </c>
    </row>
    <row r="115" spans="2:4" ht="12.75" customHeight="1">
      <c r="B115" s="6">
        <f t="shared" si="1"/>
        <v>111</v>
      </c>
      <c r="C115" s="17" t="s">
        <v>156</v>
      </c>
      <c r="D115" s="18">
        <v>5463046</v>
      </c>
    </row>
    <row r="116" spans="2:4" ht="12.75" customHeight="1">
      <c r="B116" s="6">
        <f t="shared" si="1"/>
        <v>112</v>
      </c>
      <c r="C116" s="17" t="s">
        <v>97</v>
      </c>
      <c r="D116" s="18">
        <v>5431747</v>
      </c>
    </row>
    <row r="117" spans="2:4" ht="12.75" customHeight="1">
      <c r="B117" s="6">
        <f t="shared" si="1"/>
        <v>113</v>
      </c>
      <c r="C117" s="17" t="s">
        <v>64</v>
      </c>
      <c r="D117" s="18">
        <v>5250275</v>
      </c>
    </row>
    <row r="118" spans="2:4" ht="12.75" customHeight="1">
      <c r="B118" s="6">
        <f t="shared" si="1"/>
        <v>114</v>
      </c>
      <c r="C118" s="17" t="s">
        <v>179</v>
      </c>
      <c r="D118" s="18">
        <v>4884887</v>
      </c>
    </row>
    <row r="119" spans="2:4" ht="12.75" customHeight="1">
      <c r="B119" s="6">
        <f t="shared" si="1"/>
        <v>115</v>
      </c>
      <c r="C119" s="17" t="s">
        <v>183</v>
      </c>
      <c r="D119" s="18">
        <v>4798491</v>
      </c>
    </row>
    <row r="120" spans="2:4" ht="12.75" customHeight="1">
      <c r="B120" s="6">
        <f t="shared" si="1"/>
        <v>116</v>
      </c>
      <c r="C120" s="17" t="s">
        <v>133</v>
      </c>
      <c r="D120" s="18">
        <v>4660539</v>
      </c>
    </row>
    <row r="121" spans="2:4" ht="12.75" customHeight="1">
      <c r="B121" s="6">
        <f t="shared" si="1"/>
        <v>117</v>
      </c>
      <c r="C121" s="17" t="s">
        <v>155</v>
      </c>
      <c r="D121" s="18">
        <v>4657542</v>
      </c>
    </row>
    <row r="122" spans="2:4" ht="12.75" customHeight="1">
      <c r="B122" s="6">
        <f t="shared" si="1"/>
        <v>118</v>
      </c>
      <c r="C122" s="17" t="s">
        <v>68</v>
      </c>
      <c r="D122" s="18">
        <v>4615807</v>
      </c>
    </row>
    <row r="123" spans="2:4" ht="12.75" customHeight="1">
      <c r="B123" s="6">
        <f t="shared" si="1"/>
        <v>119</v>
      </c>
      <c r="C123" s="17" t="s">
        <v>27</v>
      </c>
      <c r="D123" s="18">
        <v>4613414</v>
      </c>
    </row>
    <row r="124" spans="2:4" ht="12.75" customHeight="1">
      <c r="B124" s="6">
        <f t="shared" si="1"/>
        <v>120</v>
      </c>
      <c r="C124" s="17" t="s">
        <v>38</v>
      </c>
      <c r="D124" s="18">
        <v>4511488</v>
      </c>
    </row>
    <row r="125" spans="2:4" ht="12.75" customHeight="1">
      <c r="B125" s="6">
        <f t="shared" si="1"/>
        <v>121</v>
      </c>
      <c r="C125" s="17" t="s">
        <v>48</v>
      </c>
      <c r="D125" s="18">
        <v>4489409</v>
      </c>
    </row>
    <row r="126" spans="2:4" ht="12.75" customHeight="1">
      <c r="B126" s="6">
        <f t="shared" si="1"/>
        <v>122</v>
      </c>
      <c r="C126" s="17" t="s">
        <v>119</v>
      </c>
      <c r="D126" s="18">
        <v>4320748</v>
      </c>
    </row>
    <row r="127" spans="2:4" ht="12.75" customHeight="1">
      <c r="B127" s="6">
        <f t="shared" si="1"/>
        <v>123</v>
      </c>
      <c r="C127" s="17" t="s">
        <v>46</v>
      </c>
      <c r="D127" s="18">
        <v>4253877</v>
      </c>
    </row>
    <row r="128" spans="2:4" ht="12.75" customHeight="1">
      <c r="B128" s="6">
        <f t="shared" si="1"/>
        <v>124</v>
      </c>
      <c r="C128" s="17" t="s">
        <v>129</v>
      </c>
      <c r="D128" s="18">
        <v>4213418</v>
      </c>
    </row>
    <row r="129" spans="2:4" ht="12.75" customHeight="1">
      <c r="B129" s="6">
        <f t="shared" si="1"/>
        <v>125</v>
      </c>
      <c r="C129" s="17" t="s">
        <v>85</v>
      </c>
      <c r="D129" s="18">
        <v>4203200</v>
      </c>
    </row>
    <row r="130" spans="2:4" ht="12.75" customHeight="1">
      <c r="B130" s="6">
        <f t="shared" si="1"/>
        <v>126</v>
      </c>
      <c r="C130" s="17" t="s">
        <v>100</v>
      </c>
      <c r="D130" s="18">
        <v>4017095</v>
      </c>
    </row>
    <row r="131" spans="2:4" ht="12.75" customHeight="1">
      <c r="B131" s="6">
        <f t="shared" si="1"/>
        <v>127</v>
      </c>
      <c r="C131" s="17" t="s">
        <v>45</v>
      </c>
      <c r="D131" s="18">
        <v>4012809</v>
      </c>
    </row>
    <row r="132" spans="2:4" ht="12.75" customHeight="1">
      <c r="B132" s="6">
        <f t="shared" si="1"/>
        <v>128</v>
      </c>
      <c r="C132" s="17" t="s">
        <v>7</v>
      </c>
      <c r="D132" s="18">
        <v>3639453</v>
      </c>
    </row>
    <row r="133" spans="2:4" ht="12.75" customHeight="1">
      <c r="B133" s="6">
        <f t="shared" si="1"/>
        <v>129</v>
      </c>
      <c r="C133" s="17" t="s">
        <v>105</v>
      </c>
      <c r="D133" s="18">
        <v>3555179</v>
      </c>
    </row>
    <row r="134" spans="2:4" ht="12.75" customHeight="1">
      <c r="B134" s="6">
        <f t="shared" si="1"/>
        <v>130</v>
      </c>
      <c r="C134" s="17" t="s">
        <v>186</v>
      </c>
      <c r="D134" s="18">
        <v>3494382</v>
      </c>
    </row>
    <row r="135" spans="2:4" ht="12.75" customHeight="1">
      <c r="B135" s="6">
        <f t="shared" ref="B135:B192" si="2">B134+1</f>
        <v>131</v>
      </c>
      <c r="C135" s="17" t="s">
        <v>102</v>
      </c>
      <c r="D135" s="18">
        <v>3441790</v>
      </c>
    </row>
    <row r="136" spans="2:4" ht="12.75" customHeight="1">
      <c r="B136" s="6">
        <f t="shared" si="2"/>
        <v>132</v>
      </c>
      <c r="C136" s="17" t="s">
        <v>134</v>
      </c>
      <c r="D136" s="18">
        <v>3418085</v>
      </c>
    </row>
    <row r="137" spans="2:4" ht="12.75" customHeight="1">
      <c r="B137" s="6">
        <f t="shared" si="2"/>
        <v>133</v>
      </c>
      <c r="C137" s="17" t="s">
        <v>137</v>
      </c>
      <c r="D137" s="18">
        <v>3360474</v>
      </c>
    </row>
    <row r="138" spans="2:4" ht="12.75" customHeight="1">
      <c r="B138" s="6">
        <f t="shared" si="2"/>
        <v>134</v>
      </c>
      <c r="C138" s="17" t="s">
        <v>115</v>
      </c>
      <c r="D138" s="18">
        <v>3129486</v>
      </c>
    </row>
    <row r="139" spans="2:4" ht="12.75" customHeight="1">
      <c r="B139" s="6">
        <f t="shared" si="2"/>
        <v>135</v>
      </c>
      <c r="C139" s="17" t="s">
        <v>121</v>
      </c>
      <c r="D139" s="18">
        <v>3041142</v>
      </c>
    </row>
    <row r="140" spans="2:4" ht="12.75" customHeight="1">
      <c r="B140" s="6">
        <f t="shared" si="2"/>
        <v>136</v>
      </c>
      <c r="C140" s="17" t="s">
        <v>13</v>
      </c>
      <c r="D140" s="18">
        <v>2967004</v>
      </c>
    </row>
    <row r="141" spans="2:4" ht="12.75" customHeight="1">
      <c r="B141" s="6">
        <f t="shared" si="2"/>
        <v>137</v>
      </c>
      <c r="C141" s="17" t="s">
        <v>88</v>
      </c>
      <c r="D141" s="18">
        <v>2825928</v>
      </c>
    </row>
    <row r="142" spans="2:4" ht="12.75" customHeight="1">
      <c r="B142" s="6">
        <f t="shared" si="2"/>
        <v>138</v>
      </c>
      <c r="C142" s="17" t="s">
        <v>96</v>
      </c>
      <c r="D142" s="18">
        <v>2691158</v>
      </c>
    </row>
    <row r="143" spans="2:4" ht="12.75" customHeight="1">
      <c r="B143" s="6">
        <f t="shared" si="2"/>
        <v>139</v>
      </c>
      <c r="C143" s="17" t="s">
        <v>99</v>
      </c>
      <c r="D143" s="18">
        <v>2231503</v>
      </c>
    </row>
    <row r="144" spans="2:4" ht="12.75" customHeight="1">
      <c r="B144" s="6">
        <f t="shared" si="2"/>
        <v>140</v>
      </c>
      <c r="C144" s="17" t="s">
        <v>101</v>
      </c>
      <c r="D144" s="18">
        <v>2130819</v>
      </c>
    </row>
    <row r="145" spans="2:4" ht="12.75" customHeight="1">
      <c r="B145" s="6">
        <f t="shared" si="2"/>
        <v>141</v>
      </c>
      <c r="C145" s="17" t="s">
        <v>125</v>
      </c>
      <c r="D145" s="18">
        <v>2108665</v>
      </c>
    </row>
    <row r="146" spans="2:4" ht="12.75" customHeight="1">
      <c r="B146" s="6">
        <f t="shared" si="2"/>
        <v>142</v>
      </c>
      <c r="C146" s="17" t="s">
        <v>107</v>
      </c>
      <c r="D146" s="18">
        <v>2066718</v>
      </c>
    </row>
    <row r="147" spans="2:4" ht="12.75" customHeight="1">
      <c r="B147" s="6">
        <f t="shared" si="2"/>
        <v>143</v>
      </c>
      <c r="C147" s="17" t="s">
        <v>157</v>
      </c>
      <c r="D147" s="18">
        <v>2005692</v>
      </c>
    </row>
    <row r="148" spans="2:4" ht="12.75" customHeight="1">
      <c r="B148" s="6">
        <f t="shared" si="2"/>
        <v>144</v>
      </c>
      <c r="C148" s="17" t="s">
        <v>28</v>
      </c>
      <c r="D148" s="18">
        <v>1990876</v>
      </c>
    </row>
    <row r="149" spans="2:4" ht="12.75" customHeight="1">
      <c r="B149" s="6">
        <f t="shared" si="2"/>
        <v>145</v>
      </c>
      <c r="C149" s="17" t="s">
        <v>67</v>
      </c>
      <c r="D149" s="18">
        <v>1782893</v>
      </c>
    </row>
    <row r="150" spans="2:4" ht="12.75" customHeight="1">
      <c r="B150" s="6">
        <f t="shared" si="2"/>
        <v>146</v>
      </c>
      <c r="C150" s="17" t="s">
        <v>75</v>
      </c>
      <c r="D150" s="18">
        <v>1533964</v>
      </c>
    </row>
    <row r="151" spans="2:4" ht="12.75" customHeight="1">
      <c r="B151" s="6">
        <f t="shared" si="2"/>
        <v>147</v>
      </c>
      <c r="C151" s="17" t="s">
        <v>66</v>
      </c>
      <c r="D151" s="18">
        <v>1514993</v>
      </c>
    </row>
    <row r="152" spans="2:4" ht="12.75" customHeight="1">
      <c r="B152" s="6">
        <f t="shared" si="2"/>
        <v>148</v>
      </c>
      <c r="C152" s="17" t="s">
        <v>61</v>
      </c>
      <c r="D152" s="18">
        <v>1299371</v>
      </c>
    </row>
    <row r="153" spans="2:4" ht="12.75" customHeight="1">
      <c r="B153" s="6">
        <f t="shared" si="2"/>
        <v>149</v>
      </c>
      <c r="C153" s="17" t="s">
        <v>116</v>
      </c>
      <c r="D153" s="18">
        <v>1284264</v>
      </c>
    </row>
    <row r="154" spans="2:4" ht="12.75" customHeight="1">
      <c r="B154" s="6">
        <f t="shared" si="2"/>
        <v>150</v>
      </c>
      <c r="C154" s="17" t="s">
        <v>176</v>
      </c>
      <c r="D154" s="18">
        <v>1229953</v>
      </c>
    </row>
    <row r="155" spans="2:4" ht="12.75" customHeight="1">
      <c r="B155" s="6">
        <f t="shared" si="2"/>
        <v>151</v>
      </c>
      <c r="C155" s="17" t="s">
        <v>173</v>
      </c>
      <c r="D155" s="18">
        <v>1131612</v>
      </c>
    </row>
    <row r="156" spans="2:4" ht="12.75" customHeight="1">
      <c r="B156" s="6">
        <f t="shared" si="2"/>
        <v>152</v>
      </c>
      <c r="C156" s="17" t="s">
        <v>165</v>
      </c>
      <c r="D156" s="18">
        <v>1123913</v>
      </c>
    </row>
    <row r="157" spans="2:4" ht="12.75" customHeight="1">
      <c r="B157" s="6">
        <f t="shared" si="2"/>
        <v>153</v>
      </c>
      <c r="C157" s="17" t="s">
        <v>144</v>
      </c>
      <c r="D157" s="18">
        <v>833285</v>
      </c>
    </row>
    <row r="158" spans="2:4" ht="12.75" customHeight="1">
      <c r="B158" s="6">
        <f t="shared" si="2"/>
        <v>154</v>
      </c>
      <c r="C158" s="17" t="s">
        <v>76</v>
      </c>
      <c r="D158" s="18">
        <v>772298</v>
      </c>
    </row>
    <row r="159" spans="2:4" ht="12.75" customHeight="1">
      <c r="B159" s="6">
        <f t="shared" si="2"/>
        <v>155</v>
      </c>
      <c r="C159" s="17" t="s">
        <v>43</v>
      </c>
      <c r="D159" s="18">
        <v>752438</v>
      </c>
    </row>
    <row r="160" spans="2:4" ht="12.75" customHeight="1">
      <c r="B160" s="6">
        <f t="shared" si="2"/>
        <v>156</v>
      </c>
      <c r="C160" s="17" t="s">
        <v>18</v>
      </c>
      <c r="D160" s="18">
        <v>727785</v>
      </c>
    </row>
    <row r="161" spans="2:4" ht="12.75" customHeight="1">
      <c r="B161" s="6">
        <f t="shared" si="2"/>
        <v>157</v>
      </c>
      <c r="C161" s="17" t="s">
        <v>25</v>
      </c>
      <c r="D161" s="18">
        <v>691141</v>
      </c>
    </row>
    <row r="162" spans="2:4" ht="12.75" customHeight="1">
      <c r="B162" s="6">
        <f t="shared" si="2"/>
        <v>158</v>
      </c>
      <c r="C162" s="17" t="s">
        <v>59</v>
      </c>
      <c r="D162" s="18">
        <v>633441</v>
      </c>
    </row>
    <row r="163" spans="2:4" ht="12.75" customHeight="1">
      <c r="B163" s="6">
        <f t="shared" si="2"/>
        <v>159</v>
      </c>
      <c r="C163" s="17" t="s">
        <v>158</v>
      </c>
      <c r="D163" s="18">
        <v>595613</v>
      </c>
    </row>
    <row r="164" spans="2:4" ht="12.75" customHeight="1">
      <c r="B164" s="6">
        <f t="shared" si="2"/>
        <v>160</v>
      </c>
      <c r="C164" s="17" t="s">
        <v>53</v>
      </c>
      <c r="D164" s="18">
        <v>516055</v>
      </c>
    </row>
    <row r="165" spans="2:4" ht="12.75" customHeight="1">
      <c r="B165" s="6">
        <f t="shared" si="2"/>
        <v>161</v>
      </c>
      <c r="C165" s="17" t="s">
        <v>106</v>
      </c>
      <c r="D165" s="18">
        <v>491775</v>
      </c>
    </row>
    <row r="166" spans="2:4" ht="12.75" customHeight="1">
      <c r="B166" s="6">
        <f t="shared" si="2"/>
        <v>162</v>
      </c>
      <c r="C166" s="17" t="s">
        <v>164</v>
      </c>
      <c r="D166" s="18">
        <v>481267</v>
      </c>
    </row>
    <row r="167" spans="2:4" ht="12.75" customHeight="1">
      <c r="B167" s="6">
        <f t="shared" si="2"/>
        <v>163</v>
      </c>
      <c r="C167" s="17" t="s">
        <v>37</v>
      </c>
      <c r="D167" s="18">
        <v>429474</v>
      </c>
    </row>
    <row r="168" spans="2:4" ht="12.75" customHeight="1">
      <c r="B168" s="6">
        <f t="shared" si="2"/>
        <v>164</v>
      </c>
      <c r="C168" s="17" t="s">
        <v>113</v>
      </c>
      <c r="D168" s="18">
        <v>405165</v>
      </c>
    </row>
    <row r="169" spans="2:4" ht="12.75" customHeight="1">
      <c r="B169" s="6">
        <f t="shared" si="2"/>
        <v>165</v>
      </c>
      <c r="C169" s="17" t="s">
        <v>111</v>
      </c>
      <c r="D169" s="18">
        <v>396334</v>
      </c>
    </row>
    <row r="170" spans="2:4" ht="12.75" customHeight="1">
      <c r="B170" s="6">
        <f t="shared" si="2"/>
        <v>166</v>
      </c>
      <c r="C170" s="17" t="s">
        <v>17</v>
      </c>
      <c r="D170" s="18">
        <v>309156</v>
      </c>
    </row>
    <row r="171" spans="2:4" ht="12.75" customHeight="1">
      <c r="B171" s="6">
        <f t="shared" si="2"/>
        <v>167</v>
      </c>
      <c r="C171" s="17" t="s">
        <v>23</v>
      </c>
      <c r="D171" s="18">
        <v>307899</v>
      </c>
    </row>
    <row r="172" spans="2:4" ht="12.75" customHeight="1">
      <c r="B172" s="6">
        <f t="shared" si="2"/>
        <v>168</v>
      </c>
      <c r="C172" s="17" t="s">
        <v>80</v>
      </c>
      <c r="D172" s="18">
        <v>306694</v>
      </c>
    </row>
    <row r="173" spans="2:4" ht="12.75" customHeight="1">
      <c r="B173" s="6">
        <f t="shared" si="2"/>
        <v>169</v>
      </c>
      <c r="C173" s="17" t="s">
        <v>20</v>
      </c>
      <c r="D173" s="18">
        <v>284589</v>
      </c>
    </row>
    <row r="174" spans="2:4" ht="12.75" customHeight="1">
      <c r="B174" s="6">
        <f t="shared" si="2"/>
        <v>170</v>
      </c>
      <c r="C174" s="17" t="s">
        <v>149</v>
      </c>
      <c r="D174" s="18">
        <v>219998</v>
      </c>
    </row>
    <row r="175" spans="2:4" ht="12.75" customHeight="1">
      <c r="B175" s="6">
        <f t="shared" si="2"/>
        <v>171</v>
      </c>
      <c r="C175" s="17" t="s">
        <v>188</v>
      </c>
      <c r="D175" s="18">
        <v>218519</v>
      </c>
    </row>
    <row r="176" spans="2:4" ht="12.75" customHeight="1">
      <c r="B176" s="6">
        <f t="shared" si="2"/>
        <v>172</v>
      </c>
      <c r="C176" s="17" t="s">
        <v>148</v>
      </c>
      <c r="D176" s="18">
        <v>160267</v>
      </c>
    </row>
    <row r="177" spans="2:4" ht="12.75" customHeight="1">
      <c r="B177" s="6">
        <f t="shared" si="2"/>
        <v>173</v>
      </c>
      <c r="C177" s="17" t="s">
        <v>175</v>
      </c>
      <c r="D177" s="18">
        <v>120898</v>
      </c>
    </row>
    <row r="178" spans="2:4" ht="12.75" customHeight="1">
      <c r="B178" s="6">
        <f t="shared" si="2"/>
        <v>174</v>
      </c>
      <c r="C178" s="17" t="s">
        <v>118</v>
      </c>
      <c r="D178" s="18">
        <v>107434</v>
      </c>
    </row>
    <row r="179" spans="2:4" ht="12.75" customHeight="1">
      <c r="B179" s="6">
        <f t="shared" si="2"/>
        <v>175</v>
      </c>
      <c r="C179" s="17" t="s">
        <v>63</v>
      </c>
      <c r="D179" s="18">
        <v>94472</v>
      </c>
    </row>
    <row r="180" spans="2:4" ht="12.75" customHeight="1">
      <c r="B180" s="6">
        <f t="shared" si="2"/>
        <v>176</v>
      </c>
      <c r="C180" s="17" t="s">
        <v>72</v>
      </c>
      <c r="D180" s="18">
        <v>90739</v>
      </c>
    </row>
    <row r="181" spans="2:4" ht="12.75" customHeight="1">
      <c r="B181" s="6">
        <f t="shared" si="2"/>
        <v>177</v>
      </c>
      <c r="C181" s="17" t="s">
        <v>153</v>
      </c>
      <c r="D181" s="18">
        <v>87476</v>
      </c>
    </row>
    <row r="182" spans="2:4" ht="12.75" customHeight="1">
      <c r="B182" s="6">
        <f t="shared" si="2"/>
        <v>178</v>
      </c>
      <c r="C182" s="17" t="s">
        <v>11</v>
      </c>
      <c r="D182" s="18">
        <v>85632</v>
      </c>
    </row>
    <row r="183" spans="2:4" ht="12.75" customHeight="1">
      <c r="B183" s="6">
        <f t="shared" si="2"/>
        <v>179</v>
      </c>
      <c r="C183" s="17" t="s">
        <v>9</v>
      </c>
      <c r="D183" s="18">
        <v>83888</v>
      </c>
    </row>
    <row r="184" spans="2:4" ht="12.75" customHeight="1">
      <c r="B184" s="6">
        <f t="shared" si="2"/>
        <v>180</v>
      </c>
      <c r="C184" s="17" t="s">
        <v>50</v>
      </c>
      <c r="D184" s="18">
        <v>79674</v>
      </c>
    </row>
    <row r="185" spans="2:4" ht="12.75" customHeight="1">
      <c r="B185" s="6">
        <f t="shared" si="2"/>
        <v>181</v>
      </c>
      <c r="C185" s="17" t="s">
        <v>122</v>
      </c>
      <c r="D185" s="18">
        <v>67218</v>
      </c>
    </row>
    <row r="186" spans="2:4" ht="12.75" customHeight="1">
      <c r="B186" s="6">
        <f t="shared" si="2"/>
        <v>182</v>
      </c>
      <c r="C186" s="17" t="s">
        <v>114</v>
      </c>
      <c r="D186" s="18">
        <v>64522</v>
      </c>
    </row>
    <row r="187" spans="2:4" ht="12.75" customHeight="1">
      <c r="B187" s="6">
        <f t="shared" si="2"/>
        <v>183</v>
      </c>
      <c r="C187" s="17" t="s">
        <v>191</v>
      </c>
      <c r="D187" s="18">
        <v>40521</v>
      </c>
    </row>
    <row r="188" spans="2:4" ht="12.75" customHeight="1">
      <c r="B188" s="6">
        <f t="shared" si="2"/>
        <v>184</v>
      </c>
      <c r="C188" s="17" t="s">
        <v>104</v>
      </c>
      <c r="D188" s="18">
        <v>34761</v>
      </c>
    </row>
    <row r="189" spans="2:4" ht="12.75" customHeight="1">
      <c r="B189" s="6">
        <f t="shared" si="2"/>
        <v>185</v>
      </c>
      <c r="C189" s="17" t="s">
        <v>120</v>
      </c>
      <c r="D189" s="18">
        <v>32965</v>
      </c>
    </row>
    <row r="190" spans="2:4" ht="12.75" customHeight="1">
      <c r="B190" s="6">
        <f t="shared" si="2"/>
        <v>186</v>
      </c>
      <c r="C190" s="17" t="s">
        <v>136</v>
      </c>
      <c r="D190" s="18">
        <v>20796</v>
      </c>
    </row>
    <row r="191" spans="2:4" ht="12.75" customHeight="1">
      <c r="B191" s="6">
        <f t="shared" si="2"/>
        <v>187</v>
      </c>
      <c r="C191" s="17" t="s">
        <v>126</v>
      </c>
      <c r="D191" s="18">
        <v>14019</v>
      </c>
    </row>
    <row r="192" spans="2:4" ht="12.75" customHeight="1">
      <c r="B192" s="6">
        <f t="shared" si="2"/>
        <v>188</v>
      </c>
      <c r="C192" s="17" t="s">
        <v>180</v>
      </c>
      <c r="D192" s="18">
        <v>12373</v>
      </c>
    </row>
    <row r="193" spans="2:4" ht="12.75" customHeight="1">
      <c r="B193" s="6">
        <f>B192+1</f>
        <v>189</v>
      </c>
      <c r="C193" s="17" t="s">
        <v>93</v>
      </c>
      <c r="D193" s="18">
        <v>11285</v>
      </c>
    </row>
    <row r="194" spans="2:4" ht="12.75" customHeight="1">
      <c r="B194" s="7">
        <f>B193+1</f>
        <v>190</v>
      </c>
      <c r="C194" s="19" t="s">
        <v>54</v>
      </c>
      <c r="D194" s="20">
        <v>7266</v>
      </c>
    </row>
  </sheetData>
  <sheetProtection autoFilter="0"/>
  <phoneticPr fontId="2" type="noConversion"/>
  <pageMargins left="0.27559055118110237" right="0.27559055118110237" top="0.39370078740157483" bottom="0.59055118110236227" header="0.19685039370078741" footer="0.19685039370078741"/>
  <pageSetup paperSize="9" fitToHeight="10" orientation="portrait" cellComments="atEnd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03">
    <pageSetUpPr fitToPage="1"/>
  </sheetPr>
  <dimension ref="B1:C8"/>
  <sheetViews>
    <sheetView showGridLines="0" zoomScaleNormal="100" workbookViewId="0">
      <selection activeCell="C4" sqref="C4"/>
    </sheetView>
  </sheetViews>
  <sheetFormatPr defaultColWidth="10.7109375" defaultRowHeight="12.75" customHeight="1"/>
  <cols>
    <col min="1" max="1" width="1.7109375" style="9" customWidth="1"/>
    <col min="2" max="2" width="30.7109375" style="9" customWidth="1"/>
    <col min="3" max="3" width="12.7109375" style="9" customWidth="1"/>
    <col min="4" max="4" width="1.7109375" style="9" customWidth="1"/>
    <col min="5" max="16384" width="10.7109375" style="9"/>
  </cols>
  <sheetData>
    <row r="1" spans="2:3" s="10" customFormat="1" ht="12.75" customHeight="1">
      <c r="B1" s="21"/>
      <c r="C1" s="21"/>
    </row>
    <row r="2" spans="2:3" s="10" customFormat="1" ht="30" customHeight="1" thickBot="1">
      <c r="B2" s="28" t="s">
        <v>1</v>
      </c>
      <c r="C2" s="28"/>
    </row>
    <row r="3" spans="2:3" ht="12.75" customHeight="1">
      <c r="B3" s="11"/>
      <c r="C3" s="11"/>
    </row>
    <row r="4" spans="2:3" ht="12.75" customHeight="1">
      <c r="B4" s="22" t="s">
        <v>198</v>
      </c>
      <c r="C4" s="24">
        <v>1</v>
      </c>
    </row>
    <row r="5" spans="2:3" ht="12.75" customHeight="1">
      <c r="B5" s="22" t="s">
        <v>197</v>
      </c>
      <c r="C5" s="25">
        <f ca="1">Data!$B$194-COUNTA(Dashboard!$C$7:$C$21)+1</f>
        <v>176</v>
      </c>
    </row>
    <row r="6" spans="2:3" ht="12.75" customHeight="1">
      <c r="B6" s="22" t="s">
        <v>201</v>
      </c>
      <c r="C6" s="49"/>
    </row>
    <row r="7" spans="2:3" ht="12.75" customHeight="1">
      <c r="B7" s="11" t="s">
        <v>195</v>
      </c>
      <c r="C7" s="25">
        <f>IF(ISNA(MATCH(mySearchString&amp;"*",Data!$C$5:$C$194,0)),1,MATCH(mySearchString&amp;"*",Data!$C$5:$C$194, 0))</f>
        <v>1</v>
      </c>
    </row>
    <row r="8" spans="2:3" ht="12.75" customHeight="1">
      <c r="B8" s="11" t="s">
        <v>196</v>
      </c>
      <c r="C8" s="26">
        <f ca="1">MIN(C5,C7)</f>
        <v>1</v>
      </c>
    </row>
  </sheetData>
  <sheetProtection autoFilter="0"/>
  <pageMargins left="0.27559055118110237" right="0.27559055118110237" top="0.39370078740157483" bottom="0.59055118110236227" header="0.19685039370078741" footer="0.19685039370078741"/>
  <pageSetup paperSize="9" fitToHeight="10" orientation="portrait" cellComments="atEnd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Dashboard</vt:lpstr>
      <vt:lpstr>Data</vt:lpstr>
      <vt:lpstr>Control</vt:lpstr>
      <vt:lpstr>myOverwritePosition</vt:lpstr>
      <vt:lpstr>mySearchString</vt:lpstr>
      <vt:lpstr>myStartPosition</vt:lpstr>
    </vt:vector>
  </TitlesOfParts>
  <Manager>Robert</Manager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Dashboard Table - Scroll and  Search - advanced</dc:title>
  <dc:creator>Robert</dc:creator>
  <dc:description>www.clearlyandsimply.com</dc:description>
  <cp:lastModifiedBy>Nooruddin Surani</cp:lastModifiedBy>
  <cp:lastPrinted>2010-09-23T08:05:28Z</cp:lastPrinted>
  <dcterms:created xsi:type="dcterms:W3CDTF">2005-03-20T09:46:01Z</dcterms:created>
  <dcterms:modified xsi:type="dcterms:W3CDTF">2011-01-21T01:57:35Z</dcterms:modified>
  <cp:category>Dashboards;Microsoft Excel</cp:category>
</cp:coreProperties>
</file>